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HP\Desktop\Excel\"/>
    </mc:Choice>
  </mc:AlternateContent>
  <xr:revisionPtr revIDLastSave="0" documentId="13_ncr:1_{3A72438E-6E0F-4882-AAEE-D5DCC2BA1BBD}" xr6:coauthVersionLast="47" xr6:coauthVersionMax="47" xr10:uidLastSave="{00000000-0000-0000-0000-000000000000}"/>
  <bookViews>
    <workbookView xWindow="-120" yWindow="-120" windowWidth="20730" windowHeight="11160" activeTab="2" xr2:uid="{BC24A4BA-FFFB-494B-BA19-E0821A678537}"/>
  </bookViews>
  <sheets>
    <sheet name="dataset" sheetId="1" r:id="rId1"/>
    <sheet name="Kpi" sheetId="2" r:id="rId2"/>
    <sheet name="Dashboard" sheetId="3" r:id="rId3"/>
  </sheets>
  <definedNames>
    <definedName name="Slicer_Account_Type">#N/A</definedName>
    <definedName name="Slicer_City">#N/A</definedName>
    <definedName name="Slicer_Loan_Status">#N/A</definedName>
    <definedName name="Slicer_Segment">#N/A</definedName>
  </definedNames>
  <calcPr calcId="191029"/>
  <pivotCaches>
    <pivotCache cacheId="23"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 i="3" l="1"/>
  <c r="G4" i="3"/>
  <c r="D4" i="3"/>
  <c r="A4" i="3"/>
  <c r="B9" i="2"/>
  <c r="B8" i="2"/>
  <c r="B2" i="2"/>
  <c r="B7" i="2"/>
  <c r="B6" i="2"/>
  <c r="B5" i="2"/>
  <c r="B4" i="2"/>
  <c r="B3" i="2"/>
</calcChain>
</file>

<file path=xl/sharedStrings.xml><?xml version="1.0" encoding="utf-8"?>
<sst xmlns="http://schemas.openxmlformats.org/spreadsheetml/2006/main" count="547" uniqueCount="189">
  <si>
    <t>Customer_ID</t>
  </si>
  <si>
    <t>Customer_Name</t>
  </si>
  <si>
    <t>City</t>
  </si>
  <si>
    <t>Branch</t>
  </si>
  <si>
    <t>Segment</t>
  </si>
  <si>
    <t>Account_Type</t>
  </si>
  <si>
    <t>Balance</t>
  </si>
  <si>
    <t>Last_Transaction_Date</t>
  </si>
  <si>
    <t>Last_Transaction_Type</t>
  </si>
  <si>
    <t>Last_Transaction_Amount</t>
  </si>
  <si>
    <t>Loan_Type</t>
  </si>
  <si>
    <t>Loan_Amount</t>
  </si>
  <si>
    <t>EMI</t>
  </si>
  <si>
    <t>Loan_Status</t>
  </si>
  <si>
    <t>C001</t>
  </si>
  <si>
    <t>Rahul Sharma</t>
  </si>
  <si>
    <t>Delhi</t>
  </si>
  <si>
    <t>Delhi North</t>
  </si>
  <si>
    <t>Retail</t>
  </si>
  <si>
    <t>Savings</t>
  </si>
  <si>
    <t>Deposit</t>
  </si>
  <si>
    <t>Home</t>
  </si>
  <si>
    <t>Active</t>
  </si>
  <si>
    <t>C002</t>
  </si>
  <si>
    <t>Priya Verma</t>
  </si>
  <si>
    <t>Mumbai</t>
  </si>
  <si>
    <t>Mumbai Central</t>
  </si>
  <si>
    <t>Premium</t>
  </si>
  <si>
    <t>Current</t>
  </si>
  <si>
    <t>Withdrawal</t>
  </si>
  <si>
    <t>Car</t>
  </si>
  <si>
    <t>Closed</t>
  </si>
  <si>
    <t>C003</t>
  </si>
  <si>
    <t>Aman Gupta</t>
  </si>
  <si>
    <t>Kolkata</t>
  </si>
  <si>
    <t>Kolkata East</t>
  </si>
  <si>
    <t>Personal</t>
  </si>
  <si>
    <t>C004</t>
  </si>
  <si>
    <t>Neha Singh</t>
  </si>
  <si>
    <t>Bangalore</t>
  </si>
  <si>
    <t>Bangalore South</t>
  </si>
  <si>
    <t>NULL</t>
  </si>
  <si>
    <t>C005</t>
  </si>
  <si>
    <t>Arjun Mehta</t>
  </si>
  <si>
    <t>Delhi West</t>
  </si>
  <si>
    <t>Business</t>
  </si>
  <si>
    <t>C006</t>
  </si>
  <si>
    <t>Sneha Iyer</t>
  </si>
  <si>
    <t>Chennai</t>
  </si>
  <si>
    <t>Chennai Central</t>
  </si>
  <si>
    <t>C007</t>
  </si>
  <si>
    <t>Vikram Patel</t>
  </si>
  <si>
    <t>Ahmedabad</t>
  </si>
  <si>
    <t>Ahmedabad North</t>
  </si>
  <si>
    <t>C008</t>
  </si>
  <si>
    <t>Pooja Kapoor</t>
  </si>
  <si>
    <t>Delhi South</t>
  </si>
  <si>
    <t>C009</t>
  </si>
  <si>
    <t>Rohan Das</t>
  </si>
  <si>
    <t>Kolkata West</t>
  </si>
  <si>
    <t>C010</t>
  </si>
  <si>
    <t>Anjali Nair</t>
  </si>
  <si>
    <t>Bangalore East</t>
  </si>
  <si>
    <t>C011</t>
  </si>
  <si>
    <t>Karan Malhotra</t>
  </si>
  <si>
    <t>Delhi Central</t>
  </si>
  <si>
    <t>C012</t>
  </si>
  <si>
    <t>Meera Joshi</t>
  </si>
  <si>
    <t>Mumbai West</t>
  </si>
  <si>
    <t>C013</t>
  </si>
  <si>
    <t>Suresh Yadav</t>
  </si>
  <si>
    <t>Lucknow</t>
  </si>
  <si>
    <t>Lucknow North</t>
  </si>
  <si>
    <t>C014</t>
  </si>
  <si>
    <t>Kavita Shah</t>
  </si>
  <si>
    <t>Ahmedabad South</t>
  </si>
  <si>
    <t>C015</t>
  </si>
  <si>
    <t>Mohit Bansal</t>
  </si>
  <si>
    <t>Delhi East</t>
  </si>
  <si>
    <t>C016</t>
  </si>
  <si>
    <t>Divya Reddy</t>
  </si>
  <si>
    <t>Hyderabad</t>
  </si>
  <si>
    <t>Hyderabad Central</t>
  </si>
  <si>
    <t>C017</t>
  </si>
  <si>
    <t>Manish Kumar</t>
  </si>
  <si>
    <t>Patna</t>
  </si>
  <si>
    <t>Patna Main</t>
  </si>
  <si>
    <t>C018</t>
  </si>
  <si>
    <t>Ritu Saxena</t>
  </si>
  <si>
    <t>Jaipur</t>
  </si>
  <si>
    <t>Jaipur North</t>
  </si>
  <si>
    <t>C019</t>
  </si>
  <si>
    <t>Deepak Singh</t>
  </si>
  <si>
    <t>C020</t>
  </si>
  <si>
    <t>Nisha Arora</t>
  </si>
  <si>
    <t>C021</t>
  </si>
  <si>
    <t>Ajay Verma</t>
  </si>
  <si>
    <t>C022</t>
  </si>
  <si>
    <t>Sunita Mishra</t>
  </si>
  <si>
    <t>Lucknow East</t>
  </si>
  <si>
    <t>C023</t>
  </si>
  <si>
    <t>Rajesh Khanna</t>
  </si>
  <si>
    <t>C024</t>
  </si>
  <si>
    <t>Pooja Singh</t>
  </si>
  <si>
    <t>Jaipur South</t>
  </si>
  <si>
    <t>C025</t>
  </si>
  <si>
    <t>Ravi Shukla</t>
  </si>
  <si>
    <t>Kanpur</t>
  </si>
  <si>
    <t>Kanpur Central</t>
  </si>
  <si>
    <t>C026</t>
  </si>
  <si>
    <t>Alok Jain</t>
  </si>
  <si>
    <t>C027</t>
  </si>
  <si>
    <t>Simran Kaur</t>
  </si>
  <si>
    <t>Chandigarh</t>
  </si>
  <si>
    <t>Chandigarh Central</t>
  </si>
  <si>
    <t>C028</t>
  </si>
  <si>
    <t>Tarun Gupta</t>
  </si>
  <si>
    <t>Noida</t>
  </si>
  <si>
    <t>Noida Sector 18</t>
  </si>
  <si>
    <t>C029</t>
  </si>
  <si>
    <t>Rohit Sharma</t>
  </si>
  <si>
    <t>C030</t>
  </si>
  <si>
    <t>Kiran Das</t>
  </si>
  <si>
    <t>Kolkata South</t>
  </si>
  <si>
    <t>C031</t>
  </si>
  <si>
    <t>Vivek Singh</t>
  </si>
  <si>
    <t>C032</t>
  </si>
  <si>
    <t>Aisha Khan</t>
  </si>
  <si>
    <t>Hyderabad East</t>
  </si>
  <si>
    <t>C033</t>
  </si>
  <si>
    <t>Nitin Agarwal</t>
  </si>
  <si>
    <t>Jaipur Central</t>
  </si>
  <si>
    <t>C034</t>
  </si>
  <si>
    <t>Pankaj Verma</t>
  </si>
  <si>
    <t>Lucknow West</t>
  </si>
  <si>
    <t>C035</t>
  </si>
  <si>
    <t>Rekha Iyer</t>
  </si>
  <si>
    <t>Chennai South</t>
  </si>
  <si>
    <t>C036</t>
  </si>
  <si>
    <t>Ankit Sharma</t>
  </si>
  <si>
    <t>C037</t>
  </si>
  <si>
    <t>Varun Kapoor</t>
  </si>
  <si>
    <t>C038</t>
  </si>
  <si>
    <t>Shreya Bose</t>
  </si>
  <si>
    <t>C039</t>
  </si>
  <si>
    <t>Harsh Patel</t>
  </si>
  <si>
    <t>C040</t>
  </si>
  <si>
    <t>Neeraj Singh</t>
  </si>
  <si>
    <t>C041</t>
  </si>
  <si>
    <t>Isha Arora</t>
  </si>
  <si>
    <t>C042</t>
  </si>
  <si>
    <t>Kunal Mehta</t>
  </si>
  <si>
    <t>Mumbai South</t>
  </si>
  <si>
    <t>C043</t>
  </si>
  <si>
    <t>Gaurav Yadav</t>
  </si>
  <si>
    <t>C044</t>
  </si>
  <si>
    <t>Tanuja Singh</t>
  </si>
  <si>
    <t>Jaipur East</t>
  </si>
  <si>
    <t>C045</t>
  </si>
  <si>
    <t>Sanjay Gupta</t>
  </si>
  <si>
    <t>C046</t>
  </si>
  <si>
    <t>Pooja Nair</t>
  </si>
  <si>
    <t>Bangalore North</t>
  </si>
  <si>
    <t>C047</t>
  </si>
  <si>
    <t>Ashok Kumar</t>
  </si>
  <si>
    <t>Patna East</t>
  </si>
  <si>
    <t>C048</t>
  </si>
  <si>
    <t>Ramesh Verma</t>
  </si>
  <si>
    <t>Kanpur South</t>
  </si>
  <si>
    <t>C049</t>
  </si>
  <si>
    <t>Kavya Reddy</t>
  </si>
  <si>
    <t>C050</t>
  </si>
  <si>
    <t>Imran Khan</t>
  </si>
  <si>
    <t>Value</t>
  </si>
  <si>
    <t>Total customers</t>
  </si>
  <si>
    <t>Total Balance</t>
  </si>
  <si>
    <t>Active Loans</t>
  </si>
  <si>
    <t>Total Loan Amount</t>
  </si>
  <si>
    <t>Average Balance</t>
  </si>
  <si>
    <t>Loan to Deposit Ratio</t>
  </si>
  <si>
    <t xml:space="preserve">Kpi </t>
  </si>
  <si>
    <t>Active loans %</t>
  </si>
  <si>
    <t>Avg loan amount</t>
  </si>
  <si>
    <t>Total Customers</t>
  </si>
  <si>
    <t>Grand Total</t>
  </si>
  <si>
    <t>Row Labels</t>
  </si>
  <si>
    <t>Sum of Balance</t>
  </si>
  <si>
    <t>Count of Customer_ID</t>
  </si>
  <si>
    <t>Sum of Loan_Amount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</si>
</sst>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20"/>
      <color theme="1"/>
      <name val="Calibri"/>
      <family val="2"/>
      <scheme val="minor"/>
    </font>
  </fonts>
  <fills count="4">
    <fill>
      <patternFill patternType="none"/>
    </fill>
    <fill>
      <patternFill patternType="gray125"/>
    </fill>
    <fill>
      <patternFill patternType="solid">
        <fgColor rgb="FF00B0F0"/>
        <bgColor indexed="64"/>
      </patternFill>
    </fill>
    <fill>
      <patternFill patternType="solid">
        <fgColor theme="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2" fillId="0" borderId="0" applyFont="0" applyFill="0" applyBorder="0" applyAlignment="0" applyProtection="0"/>
  </cellStyleXfs>
  <cellXfs count="42">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center"/>
    </xf>
    <xf numFmtId="0" fontId="0" fillId="0" borderId="0" xfId="0" applyAlignment="1">
      <alignment horizontal="center" vertical="center"/>
    </xf>
    <xf numFmtId="0" fontId="0" fillId="0" borderId="0" xfId="0" applyAlignment="1"/>
    <xf numFmtId="2" fontId="0" fillId="0" borderId="0" xfId="1" applyNumberFormat="1" applyFont="1" applyAlignment="1">
      <alignment horizontal="center"/>
    </xf>
    <xf numFmtId="0" fontId="4" fillId="2" borderId="0" xfId="0" applyFont="1" applyFill="1" applyBorder="1" applyAlignment="1">
      <alignment horizontal="center"/>
    </xf>
    <xf numFmtId="0" fontId="5" fillId="2" borderId="0" xfId="0" applyFont="1" applyFill="1" applyBorder="1" applyAlignment="1">
      <alignment horizontal="center" vertical="top"/>
    </xf>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4" fillId="2" borderId="5" xfId="0" applyFont="1" applyFill="1" applyBorder="1" applyAlignment="1">
      <alignment horizontal="center"/>
    </xf>
    <xf numFmtId="0" fontId="5" fillId="2" borderId="4" xfId="0" applyFont="1" applyFill="1" applyBorder="1" applyAlignment="1">
      <alignment horizontal="center" vertical="top"/>
    </xf>
    <xf numFmtId="0" fontId="5" fillId="2" borderId="5" xfId="0" applyFont="1" applyFill="1" applyBorder="1" applyAlignment="1">
      <alignment horizontal="center" vertical="top"/>
    </xf>
    <xf numFmtId="0" fontId="5" fillId="2" borderId="6" xfId="0" applyFont="1" applyFill="1" applyBorder="1" applyAlignment="1">
      <alignment horizontal="center" vertical="top"/>
    </xf>
    <xf numFmtId="0" fontId="5" fillId="2" borderId="7" xfId="0" applyFont="1" applyFill="1" applyBorder="1" applyAlignment="1">
      <alignment horizontal="center" vertical="top"/>
    </xf>
    <xf numFmtId="0" fontId="5" fillId="2" borderId="8"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4" fillId="3" borderId="0" xfId="0" applyFont="1" applyFill="1" applyBorder="1" applyAlignment="1"/>
    <xf numFmtId="0" fontId="5" fillId="3" borderId="0" xfId="0" applyFont="1" applyFill="1" applyBorder="1" applyAlignment="1">
      <alignment vertical="top"/>
    </xf>
    <xf numFmtId="0" fontId="5" fillId="3" borderId="0" xfId="0" applyFont="1" applyFill="1" applyBorder="1" applyAlignment="1">
      <alignment horizontal="center" vertical="top"/>
    </xf>
    <xf numFmtId="0" fontId="3" fillId="2" borderId="4" xfId="0" applyFont="1" applyFill="1" applyBorder="1" applyAlignment="1">
      <alignment horizontal="center"/>
    </xf>
    <xf numFmtId="0" fontId="3" fillId="2" borderId="2" xfId="0" applyFont="1" applyFill="1" applyBorder="1" applyAlignment="1">
      <alignment horizontal="center"/>
    </xf>
    <xf numFmtId="0" fontId="3" fillId="2" borderId="0" xfId="0" applyFont="1" applyFill="1" applyBorder="1" applyAlignment="1">
      <alignment horizontal="center"/>
    </xf>
    <xf numFmtId="0" fontId="0" fillId="2" borderId="4" xfId="0" applyFill="1" applyBorder="1" applyAlignment="1">
      <alignment horizontal="center"/>
    </xf>
    <xf numFmtId="0" fontId="5" fillId="2" borderId="4" xfId="0" applyFont="1"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0" xfId="0" applyFill="1" applyBorder="1" applyAlignment="1">
      <alignment horizontal="center"/>
    </xf>
    <xf numFmtId="0" fontId="0" fillId="2" borderId="5" xfId="0" applyFill="1" applyBorder="1" applyAlignment="1">
      <alignment horizontal="center"/>
    </xf>
    <xf numFmtId="0" fontId="5" fillId="2" borderId="0"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5" fillId="2" borderId="7" xfId="0" applyFont="1" applyFill="1" applyBorder="1" applyAlignment="1">
      <alignment horizontal="center"/>
    </xf>
    <xf numFmtId="0" fontId="5" fillId="2" borderId="8" xfId="0" applyFont="1" applyFill="1" applyBorder="1" applyAlignment="1">
      <alignment horizontal="center"/>
    </xf>
    <xf numFmtId="0" fontId="4" fillId="3" borderId="0" xfId="0" applyFont="1" applyFill="1" applyBorder="1" applyAlignment="1">
      <alignment horizontal="center"/>
    </xf>
    <xf numFmtId="0" fontId="0" fillId="3" borderId="0" xfId="0" applyFill="1"/>
  </cellXfs>
  <cellStyles count="2">
    <cellStyle name="Normal" xfId="0" builtinId="0"/>
    <cellStyle name="Percent" xfId="1" builtinId="5"/>
  </cellStyles>
  <dxfs count="16">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9" formatCode="dd/mm/yyyy"/>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[Idbi dashboard.xlsx]Dashboard!PivotTable7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City-Wise-Balance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Dashboard!$A$7:$A$20</c:f>
              <c:strCache>
                <c:ptCount val="13"/>
                <c:pt idx="0">
                  <c:v>Ahmedabad</c:v>
                </c:pt>
                <c:pt idx="1">
                  <c:v>Bangalore</c:v>
                </c:pt>
                <c:pt idx="2">
                  <c:v>Chandigarh</c:v>
                </c:pt>
                <c:pt idx="3">
                  <c:v>Chennai</c:v>
                </c:pt>
                <c:pt idx="4">
                  <c:v>Delhi</c:v>
                </c:pt>
                <c:pt idx="5">
                  <c:v>Hyderabad</c:v>
                </c:pt>
                <c:pt idx="6">
                  <c:v>Jaipur</c:v>
                </c:pt>
                <c:pt idx="7">
                  <c:v>Kanpur</c:v>
                </c:pt>
                <c:pt idx="8">
                  <c:v>Kolkata</c:v>
                </c:pt>
                <c:pt idx="9">
                  <c:v>Lucknow</c:v>
                </c:pt>
                <c:pt idx="10">
                  <c:v>Mumbai</c:v>
                </c:pt>
                <c:pt idx="11">
                  <c:v>Noida</c:v>
                </c:pt>
                <c:pt idx="12">
                  <c:v>Patna</c:v>
                </c:pt>
              </c:strCache>
            </c:strRef>
          </c:cat>
          <c:val>
            <c:numRef>
              <c:f>Dashboard!$B$7:$B$20</c:f>
              <c:numCache>
                <c:formatCode>General</c:formatCode>
                <c:ptCount val="13"/>
                <c:pt idx="0">
                  <c:v>206000</c:v>
                </c:pt>
                <c:pt idx="1">
                  <c:v>203000</c:v>
                </c:pt>
                <c:pt idx="2">
                  <c:v>62000</c:v>
                </c:pt>
                <c:pt idx="3">
                  <c:v>146000</c:v>
                </c:pt>
                <c:pt idx="4">
                  <c:v>1377000</c:v>
                </c:pt>
                <c:pt idx="5">
                  <c:v>243000</c:v>
                </c:pt>
                <c:pt idx="6">
                  <c:v>235000</c:v>
                </c:pt>
                <c:pt idx="7">
                  <c:v>145000</c:v>
                </c:pt>
                <c:pt idx="8">
                  <c:v>258000</c:v>
                </c:pt>
                <c:pt idx="9">
                  <c:v>247000</c:v>
                </c:pt>
                <c:pt idx="10">
                  <c:v>612000</c:v>
                </c:pt>
                <c:pt idx="11">
                  <c:v>98000</c:v>
                </c:pt>
                <c:pt idx="12">
                  <c:v>262000</c:v>
                </c:pt>
              </c:numCache>
            </c:numRef>
          </c:val>
          <c:extLst>
            <c:ext xmlns:c16="http://schemas.microsoft.com/office/drawing/2014/chart" uri="{C3380CC4-5D6E-409C-BE32-E72D297353CC}">
              <c16:uniqueId val="{00000000-B05C-4024-BE45-846D4A9CC85D}"/>
            </c:ext>
          </c:extLst>
        </c:ser>
        <c:dLbls>
          <c:dLblPos val="outEnd"/>
          <c:showLegendKey val="0"/>
          <c:showVal val="1"/>
          <c:showCatName val="0"/>
          <c:showSerName val="0"/>
          <c:showPercent val="0"/>
          <c:showBubbleSize val="0"/>
        </c:dLbls>
        <c:gapWidth val="182"/>
        <c:axId val="1297461135"/>
        <c:axId val="1297461615"/>
      </c:barChart>
      <c:catAx>
        <c:axId val="12974611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461615"/>
        <c:crosses val="autoZero"/>
        <c:auto val="1"/>
        <c:lblAlgn val="ctr"/>
        <c:lblOffset val="100"/>
        <c:noMultiLvlLbl val="0"/>
      </c:catAx>
      <c:valAx>
        <c:axId val="129746161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461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[Idbi dashboard.xlsx]Dashboard!PivotTable8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Segment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Dashboard!$D$6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Dashboard!$C$7:$C$10</c:f>
              <c:strCache>
                <c:ptCount val="3"/>
                <c:pt idx="0">
                  <c:v>Business</c:v>
                </c:pt>
                <c:pt idx="1">
                  <c:v>Premium</c:v>
                </c:pt>
                <c:pt idx="2">
                  <c:v>Retail</c:v>
                </c:pt>
              </c:strCache>
            </c:strRef>
          </c:cat>
          <c:val>
            <c:numRef>
              <c:f>Dashboard!$D$7:$D$10</c:f>
              <c:numCache>
                <c:formatCode>General</c:formatCode>
                <c:ptCount val="3"/>
                <c:pt idx="0">
                  <c:v>10</c:v>
                </c:pt>
                <c:pt idx="1">
                  <c:v>10</c:v>
                </c:pt>
                <c:pt idx="2">
                  <c:v>30</c:v>
                </c:pt>
              </c:numCache>
            </c:numRef>
          </c:val>
          <c:extLst>
            <c:ext xmlns:c16="http://schemas.microsoft.com/office/drawing/2014/chart" uri="{C3380CC4-5D6E-409C-BE32-E72D297353CC}">
              <c16:uniqueId val="{00000000-066B-4246-A15F-F52104B4A9B0}"/>
            </c:ext>
          </c:extLst>
        </c:ser>
        <c:dLbls>
          <c:dLblPos val="inEnd"/>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[Idbi dashboard.xlsx]Dashboard!PivotTable9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Loan distribution by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Dashboard!$F$6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Dashboard!$E$7:$E$11</c:f>
              <c:strCache>
                <c:ptCount val="4"/>
                <c:pt idx="0">
                  <c:v>Car</c:v>
                </c:pt>
                <c:pt idx="1">
                  <c:v>Home</c:v>
                </c:pt>
                <c:pt idx="2">
                  <c:v>NULL</c:v>
                </c:pt>
                <c:pt idx="3">
                  <c:v>Personal</c:v>
                </c:pt>
              </c:strCache>
            </c:strRef>
          </c:cat>
          <c:val>
            <c:numRef>
              <c:f>Dashboard!$F$7:$F$11</c:f>
              <c:numCache>
                <c:formatCode>General</c:formatCode>
                <c:ptCount val="4"/>
                <c:pt idx="0">
                  <c:v>2210000</c:v>
                </c:pt>
                <c:pt idx="1">
                  <c:v>6950000</c:v>
                </c:pt>
                <c:pt idx="2">
                  <c:v>0</c:v>
                </c:pt>
                <c:pt idx="3">
                  <c:v>2215000</c:v>
                </c:pt>
              </c:numCache>
            </c:numRef>
          </c:val>
          <c:extLst>
            <c:ext xmlns:c16="http://schemas.microsoft.com/office/drawing/2014/chart" uri="{C3380CC4-5D6E-409C-BE32-E72D297353CC}">
              <c16:uniqueId val="{00000000-3265-43E6-991E-BBC109121163}"/>
            </c:ext>
          </c:extLst>
        </c:ser>
        <c:dLbls>
          <c:dLblPos val="outEnd"/>
          <c:showLegendKey val="0"/>
          <c:showVal val="1"/>
          <c:showCatName val="0"/>
          <c:showSerName val="0"/>
          <c:showPercent val="0"/>
          <c:showBubbleSize val="0"/>
        </c:dLbls>
        <c:gapWidth val="219"/>
        <c:overlap val="-27"/>
        <c:axId val="1385392847"/>
        <c:axId val="1385393807"/>
      </c:barChart>
      <c:catAx>
        <c:axId val="138539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393807"/>
        <c:crosses val="autoZero"/>
        <c:auto val="1"/>
        <c:lblAlgn val="ctr"/>
        <c:lblOffset val="100"/>
        <c:noMultiLvlLbl val="0"/>
      </c:catAx>
      <c:valAx>
        <c:axId val="1385393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39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[Idbi dashboard.xlsx]Dashboard!PivotTable10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Loan</a:t>
            </a:r>
            <a:r>
              <a:rPr lang="en-IN" baseline="0"/>
              <a:t> Status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Dashboard!$H$6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Dashboard!$G$7:$G$10</c:f>
              <c:strCache>
                <c:ptCount val="3"/>
                <c:pt idx="0">
                  <c:v>Active</c:v>
                </c:pt>
                <c:pt idx="1">
                  <c:v>Closed</c:v>
                </c:pt>
                <c:pt idx="2">
                  <c:v>NULL</c:v>
                </c:pt>
              </c:strCache>
            </c:strRef>
          </c:cat>
          <c:val>
            <c:numRef>
              <c:f>Dashboard!$H$7:$H$10</c:f>
              <c:numCache>
                <c:formatCode>General</c:formatCode>
                <c:ptCount val="3"/>
                <c:pt idx="0">
                  <c:v>31</c:v>
                </c:pt>
                <c:pt idx="1">
                  <c:v>2</c:v>
                </c:pt>
                <c:pt idx="2">
                  <c:v>17</c:v>
                </c:pt>
              </c:numCache>
            </c:numRef>
          </c:val>
          <c:extLst>
            <c:ext xmlns:c16="http://schemas.microsoft.com/office/drawing/2014/chart" uri="{C3380CC4-5D6E-409C-BE32-E72D297353CC}">
              <c16:uniqueId val="{00000000-1295-4FB2-A134-B0D07A70070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20</xdr:row>
      <xdr:rowOff>42862</xdr:rowOff>
    </xdr:from>
    <xdr:to>
      <xdr:col>4</xdr:col>
      <xdr:colOff>876300</xdr:colOff>
      <xdr:row>34</xdr:row>
      <xdr:rowOff>119062</xdr:rowOff>
    </xdr:to>
    <xdr:graphicFrame macro="">
      <xdr:nvGraphicFramePr>
        <xdr:cNvPr id="13" name="Chart 12">
          <a:extLst>
            <a:ext uri="{FF2B5EF4-FFF2-40B4-BE49-F238E27FC236}">
              <a16:creationId xmlns:a16="http://schemas.microsoft.com/office/drawing/2014/main" id="{89E1BE21-FB2C-01F9-7666-4BBF717155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xdr:colOff>
      <xdr:row>20</xdr:row>
      <xdr:rowOff>47625</xdr:rowOff>
    </xdr:from>
    <xdr:to>
      <xdr:col>8</xdr:col>
      <xdr:colOff>400050</xdr:colOff>
      <xdr:row>34</xdr:row>
      <xdr:rowOff>111125</xdr:rowOff>
    </xdr:to>
    <xdr:graphicFrame macro="">
      <xdr:nvGraphicFramePr>
        <xdr:cNvPr id="14" name="Chart 13">
          <a:extLst>
            <a:ext uri="{FF2B5EF4-FFF2-40B4-BE49-F238E27FC236}">
              <a16:creationId xmlns:a16="http://schemas.microsoft.com/office/drawing/2014/main" id="{48B0CAD5-DCD1-50EB-4712-E772D97DE2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466725</xdr:colOff>
      <xdr:row>20</xdr:row>
      <xdr:rowOff>17007</xdr:rowOff>
    </xdr:from>
    <xdr:to>
      <xdr:col>12</xdr:col>
      <xdr:colOff>609600</xdr:colOff>
      <xdr:row>34</xdr:row>
      <xdr:rowOff>93207</xdr:rowOff>
    </xdr:to>
    <xdr:graphicFrame macro="">
      <xdr:nvGraphicFramePr>
        <xdr:cNvPr id="15" name="Chart 14">
          <a:extLst>
            <a:ext uri="{FF2B5EF4-FFF2-40B4-BE49-F238E27FC236}">
              <a16:creationId xmlns:a16="http://schemas.microsoft.com/office/drawing/2014/main" id="{8D1B6E80-75A5-0379-0AB5-1E6A3469E7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752475</xdr:colOff>
      <xdr:row>19</xdr:row>
      <xdr:rowOff>188457</xdr:rowOff>
    </xdr:from>
    <xdr:to>
      <xdr:col>17</xdr:col>
      <xdr:colOff>180975</xdr:colOff>
      <xdr:row>34</xdr:row>
      <xdr:rowOff>74157</xdr:rowOff>
    </xdr:to>
    <xdr:graphicFrame macro="">
      <xdr:nvGraphicFramePr>
        <xdr:cNvPr id="16" name="Chart 15">
          <a:extLst>
            <a:ext uri="{FF2B5EF4-FFF2-40B4-BE49-F238E27FC236}">
              <a16:creationId xmlns:a16="http://schemas.microsoft.com/office/drawing/2014/main" id="{3E9EF03D-6D8B-5110-EEBA-FB891FA90C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1061356</xdr:colOff>
      <xdr:row>11</xdr:row>
      <xdr:rowOff>146957</xdr:rowOff>
    </xdr:from>
    <xdr:to>
      <xdr:col>9</xdr:col>
      <xdr:colOff>95250</xdr:colOff>
      <xdr:row>18</xdr:row>
      <xdr:rowOff>163286</xdr:rowOff>
    </xdr:to>
    <mc:AlternateContent xmlns:mc="http://schemas.openxmlformats.org/markup-compatibility/2006">
      <mc:Choice xmlns:a14="http://schemas.microsoft.com/office/drawing/2010/main" Requires="a14">
        <xdr:graphicFrame macro="">
          <xdr:nvGraphicFramePr>
            <xdr:cNvPr id="17" name="City">
              <a:extLst>
                <a:ext uri="{FF2B5EF4-FFF2-40B4-BE49-F238E27FC236}">
                  <a16:creationId xmlns:a16="http://schemas.microsoft.com/office/drawing/2014/main" id="{CC21992D-CD6C-C2BA-2F49-2E1DFBB3B78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171213" y="2405743"/>
              <a:ext cx="1292680" cy="1349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217714</xdr:colOff>
      <xdr:row>11</xdr:row>
      <xdr:rowOff>178253</xdr:rowOff>
    </xdr:from>
    <xdr:to>
      <xdr:col>7</xdr:col>
      <xdr:colOff>857250</xdr:colOff>
      <xdr:row>17</xdr:row>
      <xdr:rowOff>176892</xdr:rowOff>
    </xdr:to>
    <mc:AlternateContent xmlns:mc="http://schemas.openxmlformats.org/markup-compatibility/2006">
      <mc:Choice xmlns:a14="http://schemas.microsoft.com/office/drawing/2010/main" Requires="a14">
        <xdr:graphicFrame macro="">
          <xdr:nvGraphicFramePr>
            <xdr:cNvPr id="18" name="Segment">
              <a:extLst>
                <a:ext uri="{FF2B5EF4-FFF2-40B4-BE49-F238E27FC236}">
                  <a16:creationId xmlns:a16="http://schemas.microsoft.com/office/drawing/2014/main" id="{2EEBBA0E-4BAF-F0DE-64C3-DF303739DFB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7456714" y="2437039"/>
              <a:ext cx="1510393" cy="1141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312964</xdr:colOff>
      <xdr:row>12</xdr:row>
      <xdr:rowOff>96612</xdr:rowOff>
    </xdr:from>
    <xdr:to>
      <xdr:col>5</xdr:col>
      <xdr:colOff>1183822</xdr:colOff>
      <xdr:row>17</xdr:row>
      <xdr:rowOff>54430</xdr:rowOff>
    </xdr:to>
    <mc:AlternateContent xmlns:mc="http://schemas.openxmlformats.org/markup-compatibility/2006">
      <mc:Choice xmlns:a14="http://schemas.microsoft.com/office/drawing/2010/main" Requires="a14">
        <xdr:graphicFrame macro="">
          <xdr:nvGraphicFramePr>
            <xdr:cNvPr id="19" name="Account_Type">
              <a:extLst>
                <a:ext uri="{FF2B5EF4-FFF2-40B4-BE49-F238E27FC236}">
                  <a16:creationId xmlns:a16="http://schemas.microsoft.com/office/drawing/2014/main" id="{4A6B0C96-26E8-909C-76B5-BC9F965AFC57}"/>
                </a:ext>
              </a:extLst>
            </xdr:cNvPr>
            <xdr:cNvGraphicFramePr/>
          </xdr:nvGraphicFramePr>
          <xdr:xfrm>
            <a:off x="0" y="0"/>
            <a:ext cx="0" cy="0"/>
          </xdr:xfrm>
          <a:graphic>
            <a:graphicData uri="http://schemas.microsoft.com/office/drawing/2010/slicer">
              <sle:slicer xmlns:sle="http://schemas.microsoft.com/office/drawing/2010/slicer" name="Account_Type"/>
            </a:graphicData>
          </a:graphic>
        </xdr:graphicFrame>
      </mc:Choice>
      <mc:Fallback>
        <xdr:sp macro="" textlink="">
          <xdr:nvSpPr>
            <xdr:cNvPr id="0" name=""/>
            <xdr:cNvSpPr>
              <a:spLocks noTextEdit="1"/>
            </xdr:cNvSpPr>
          </xdr:nvSpPr>
          <xdr:spPr>
            <a:xfrm>
              <a:off x="5334000" y="2545898"/>
              <a:ext cx="1741715" cy="910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374197</xdr:colOff>
      <xdr:row>11</xdr:row>
      <xdr:rowOff>140152</xdr:rowOff>
    </xdr:from>
    <xdr:to>
      <xdr:col>4</xdr:col>
      <xdr:colOff>122465</xdr:colOff>
      <xdr:row>18</xdr:row>
      <xdr:rowOff>40819</xdr:rowOff>
    </xdr:to>
    <mc:AlternateContent xmlns:mc="http://schemas.openxmlformats.org/markup-compatibility/2006">
      <mc:Choice xmlns:a14="http://schemas.microsoft.com/office/drawing/2010/main" Requires="a14">
        <xdr:graphicFrame macro="">
          <xdr:nvGraphicFramePr>
            <xdr:cNvPr id="20" name="Loan_Status">
              <a:extLst>
                <a:ext uri="{FF2B5EF4-FFF2-40B4-BE49-F238E27FC236}">
                  <a16:creationId xmlns:a16="http://schemas.microsoft.com/office/drawing/2014/main" id="{C9FC5B5B-04E2-98E1-7B48-1EA561420F40}"/>
                </a:ext>
              </a:extLst>
            </xdr:cNvPr>
            <xdr:cNvGraphicFramePr/>
          </xdr:nvGraphicFramePr>
          <xdr:xfrm>
            <a:off x="0" y="0"/>
            <a:ext cx="0" cy="0"/>
          </xdr:xfrm>
          <a:graphic>
            <a:graphicData uri="http://schemas.microsoft.com/office/drawing/2010/slicer">
              <sle:slicer xmlns:sle="http://schemas.microsoft.com/office/drawing/2010/slicer" name="Loan_Status"/>
            </a:graphicData>
          </a:graphic>
        </xdr:graphicFrame>
      </mc:Choice>
      <mc:Fallback>
        <xdr:sp macro="" textlink="">
          <xdr:nvSpPr>
            <xdr:cNvPr id="0" name=""/>
            <xdr:cNvSpPr>
              <a:spLocks noTextEdit="1"/>
            </xdr:cNvSpPr>
          </xdr:nvSpPr>
          <xdr:spPr>
            <a:xfrm>
              <a:off x="3136447" y="2398938"/>
              <a:ext cx="2007054" cy="1234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5.565571527775" createdVersion="8" refreshedVersion="8" minRefreshableVersion="3" recordCount="50" xr:uid="{EA9E4C22-7263-4750-A64A-7F43480D28BF}">
  <cacheSource type="worksheet">
    <worksheetSource name="Table1"/>
  </cacheSource>
  <cacheFields count="14">
    <cacheField name="Customer_ID" numFmtId="0">
      <sharedItems/>
    </cacheField>
    <cacheField name="Customer_Name" numFmtId="0">
      <sharedItems/>
    </cacheField>
    <cacheField name="City" numFmtId="0">
      <sharedItems count="13">
        <s v="Delhi"/>
        <s v="Mumbai"/>
        <s v="Kolkata"/>
        <s v="Bangalore"/>
        <s v="Chennai"/>
        <s v="Ahmedabad"/>
        <s v="Lucknow"/>
        <s v="Hyderabad"/>
        <s v="Patna"/>
        <s v="Jaipur"/>
        <s v="Kanpur"/>
        <s v="Chandigarh"/>
        <s v="Noida"/>
      </sharedItems>
    </cacheField>
    <cacheField name="Branch" numFmtId="0">
      <sharedItems/>
    </cacheField>
    <cacheField name="Segment" numFmtId="0">
      <sharedItems count="3">
        <s v="Retail"/>
        <s v="Premium"/>
        <s v="Business"/>
      </sharedItems>
    </cacheField>
    <cacheField name="Account_Type" numFmtId="0">
      <sharedItems count="2">
        <s v="Savings"/>
        <s v="Current"/>
      </sharedItems>
    </cacheField>
    <cacheField name="Balance" numFmtId="0">
      <sharedItems containsSemiMixedTypes="0" containsString="0" containsNumber="1" containsInteger="1" minValue="40000" maxValue="150000"/>
    </cacheField>
    <cacheField name="Last_Transaction_Date" numFmtId="14">
      <sharedItems containsSemiMixedTypes="0" containsNonDate="0" containsDate="1" containsString="0" minDate="2024-03-20T00:00:00" maxDate="2024-04-19T00:00:00"/>
    </cacheField>
    <cacheField name="Last_Transaction_Type" numFmtId="0">
      <sharedItems/>
    </cacheField>
    <cacheField name="Last_Transaction_Amount" numFmtId="0">
      <sharedItems containsSemiMixedTypes="0" containsString="0" containsNumber="1" containsInteger="1" minValue="4000" maxValue="80000"/>
    </cacheField>
    <cacheField name="Loan_Type" numFmtId="0">
      <sharedItems count="4">
        <s v="Home"/>
        <s v="Car"/>
        <s v="Personal"/>
        <s v="NULL"/>
      </sharedItems>
    </cacheField>
    <cacheField name="Loan_Amount" numFmtId="0">
      <sharedItems containsMixedTypes="1" containsNumber="1" containsInteger="1" minValue="100000" maxValue="900000"/>
    </cacheField>
    <cacheField name="EMI" numFmtId="0">
      <sharedItems containsMixedTypes="1" containsNumber="1" containsInteger="1" minValue="3000" maxValue="28000"/>
    </cacheField>
    <cacheField name="Loan_Status" numFmtId="0">
      <sharedItems count="3">
        <s v="Active"/>
        <s v="Closed"/>
        <s v="NULL"/>
      </sharedItems>
    </cacheField>
  </cacheFields>
  <extLst>
    <ext xmlns:x14="http://schemas.microsoft.com/office/spreadsheetml/2009/9/main" uri="{725AE2AE-9491-48be-B2B4-4EB974FC3084}">
      <x14:pivotCacheDefinition pivotCacheId="14438287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C001"/>
    <s v="Rahul Sharma"/>
    <x v="0"/>
    <s v="Delhi North"/>
    <x v="0"/>
    <x v="0"/>
    <n v="45000"/>
    <d v="2024-04-05T00:00:00"/>
    <s v="Deposit"/>
    <n v="10000"/>
    <x v="0"/>
    <n v="500000"/>
    <n v="15000"/>
    <x v="0"/>
  </r>
  <r>
    <s v="C002"/>
    <s v="Priya Verma"/>
    <x v="1"/>
    <s v="Mumbai Central"/>
    <x v="1"/>
    <x v="1"/>
    <n v="120000"/>
    <d v="2024-04-10T00:00:00"/>
    <s v="Withdrawal"/>
    <n v="12000"/>
    <x v="1"/>
    <n v="300000"/>
    <n v="8000"/>
    <x v="1"/>
  </r>
  <r>
    <s v="C003"/>
    <s v="Aman Gupta"/>
    <x v="2"/>
    <s v="Kolkata East"/>
    <x v="0"/>
    <x v="0"/>
    <n v="80000"/>
    <d v="2024-03-28T00:00:00"/>
    <s v="Deposit"/>
    <n v="20000"/>
    <x v="2"/>
    <n v="200000"/>
    <n v="6000"/>
    <x v="0"/>
  </r>
  <r>
    <s v="C004"/>
    <s v="Neha Singh"/>
    <x v="3"/>
    <s v="Bangalore South"/>
    <x v="0"/>
    <x v="0"/>
    <n v="60000"/>
    <d v="2024-04-02T00:00:00"/>
    <s v="Withdrawal"/>
    <n v="4000"/>
    <x v="3"/>
    <s v="NULL"/>
    <s v="NULL"/>
    <x v="2"/>
  </r>
  <r>
    <s v="C005"/>
    <s v="Arjun Mehta"/>
    <x v="0"/>
    <s v="Delhi West"/>
    <x v="2"/>
    <x v="1"/>
    <n v="90000"/>
    <d v="2024-04-12T00:00:00"/>
    <s v="Deposit"/>
    <n v="25000"/>
    <x v="0"/>
    <n v="600000"/>
    <n v="18000"/>
    <x v="0"/>
  </r>
  <r>
    <s v="C006"/>
    <s v="Sneha Iyer"/>
    <x v="4"/>
    <s v="Chennai Central"/>
    <x v="0"/>
    <x v="0"/>
    <n v="70000"/>
    <d v="2024-03-20T00:00:00"/>
    <s v="Withdrawal"/>
    <n v="5000"/>
    <x v="2"/>
    <n v="150000"/>
    <n v="5000"/>
    <x v="0"/>
  </r>
  <r>
    <s v="C007"/>
    <s v="Vikram Patel"/>
    <x v="5"/>
    <s v="Ahmedabad North"/>
    <x v="0"/>
    <x v="0"/>
    <n v="50000"/>
    <d v="2024-04-06T00:00:00"/>
    <s v="Deposit"/>
    <n v="12000"/>
    <x v="3"/>
    <s v="NULL"/>
    <s v="NULL"/>
    <x v="2"/>
  </r>
  <r>
    <s v="C008"/>
    <s v="Pooja Kapoor"/>
    <x v="0"/>
    <s v="Delhi South"/>
    <x v="1"/>
    <x v="1"/>
    <n v="110000"/>
    <d v="2024-04-15T00:00:00"/>
    <s v="Withdrawal"/>
    <n v="15000"/>
    <x v="1"/>
    <n v="250000"/>
    <n v="7000"/>
    <x v="0"/>
  </r>
  <r>
    <s v="C009"/>
    <s v="Rohan Das"/>
    <x v="2"/>
    <s v="Kolkata West"/>
    <x v="0"/>
    <x v="0"/>
    <n v="65000"/>
    <d v="2024-03-30T00:00:00"/>
    <s v="Deposit"/>
    <n v="18000"/>
    <x v="3"/>
    <s v="NULL"/>
    <s v="NULL"/>
    <x v="2"/>
  </r>
  <r>
    <s v="C010"/>
    <s v="Anjali Nair"/>
    <x v="3"/>
    <s v="Bangalore East"/>
    <x v="1"/>
    <x v="0"/>
    <n v="75000"/>
    <d v="2024-04-18T00:00:00"/>
    <s v="Withdrawal"/>
    <n v="5500"/>
    <x v="2"/>
    <n v="180000"/>
    <n v="5500"/>
    <x v="0"/>
  </r>
  <r>
    <s v="C011"/>
    <s v="Karan Malhotra"/>
    <x v="0"/>
    <s v="Delhi Central"/>
    <x v="2"/>
    <x v="1"/>
    <n v="130000"/>
    <d v="2024-04-11T00:00:00"/>
    <s v="Deposit"/>
    <n v="55000"/>
    <x v="0"/>
    <n v="700000"/>
    <n v="20000"/>
    <x v="0"/>
  </r>
  <r>
    <s v="C012"/>
    <s v="Meera Joshi"/>
    <x v="1"/>
    <s v="Mumbai West"/>
    <x v="0"/>
    <x v="0"/>
    <n v="85000"/>
    <d v="2024-04-09T00:00:00"/>
    <s v="Withdrawal"/>
    <n v="7000"/>
    <x v="3"/>
    <s v="NULL"/>
    <s v="NULL"/>
    <x v="2"/>
  </r>
  <r>
    <s v="C013"/>
    <s v="Suresh Yadav"/>
    <x v="6"/>
    <s v="Lucknow North"/>
    <x v="0"/>
    <x v="0"/>
    <n v="40000"/>
    <d v="2024-04-14T00:00:00"/>
    <s v="Deposit"/>
    <n v="10000"/>
    <x v="2"/>
    <n v="120000"/>
    <n v="4000"/>
    <x v="0"/>
  </r>
  <r>
    <s v="C014"/>
    <s v="Kavita Shah"/>
    <x v="5"/>
    <s v="Ahmedabad South"/>
    <x v="1"/>
    <x v="1"/>
    <n v="95000"/>
    <d v="2024-03-25T00:00:00"/>
    <s v="Withdrawal"/>
    <n v="10000"/>
    <x v="1"/>
    <n v="280000"/>
    <n v="7500"/>
    <x v="1"/>
  </r>
  <r>
    <s v="C015"/>
    <s v="Mohit Bansal"/>
    <x v="0"/>
    <s v="Delhi East"/>
    <x v="0"/>
    <x v="0"/>
    <n v="72000"/>
    <d v="2024-04-01T00:00:00"/>
    <s v="Deposit"/>
    <n v="20000"/>
    <x v="3"/>
    <s v="NULL"/>
    <s v="NULL"/>
    <x v="2"/>
  </r>
  <r>
    <s v="C016"/>
    <s v="Divya Reddy"/>
    <x v="7"/>
    <s v="Hyderabad Central"/>
    <x v="0"/>
    <x v="0"/>
    <n v="68000"/>
    <d v="2024-04-16T00:00:00"/>
    <s v="Withdrawal"/>
    <n v="6000"/>
    <x v="2"/>
    <n v="160000"/>
    <n v="5000"/>
    <x v="0"/>
  </r>
  <r>
    <s v="C017"/>
    <s v="Manish Kumar"/>
    <x v="8"/>
    <s v="Patna Main"/>
    <x v="2"/>
    <x v="1"/>
    <n v="105000"/>
    <d v="2024-04-13T00:00:00"/>
    <s v="Deposit"/>
    <n v="40000"/>
    <x v="0"/>
    <n v="550000"/>
    <n v="16000"/>
    <x v="0"/>
  </r>
  <r>
    <s v="C018"/>
    <s v="Ritu Saxena"/>
    <x v="9"/>
    <s v="Jaipur North"/>
    <x v="0"/>
    <x v="0"/>
    <n v="58000"/>
    <d v="2024-04-07T00:00:00"/>
    <s v="Withdrawal"/>
    <n v="4000"/>
    <x v="3"/>
    <s v="NULL"/>
    <s v="NULL"/>
    <x v="2"/>
  </r>
  <r>
    <s v="C019"/>
    <s v="Deepak Singh"/>
    <x v="0"/>
    <s v="Delhi West"/>
    <x v="0"/>
    <x v="0"/>
    <n v="77000"/>
    <d v="2024-04-03T00:00:00"/>
    <s v="Deposit"/>
    <n v="25000"/>
    <x v="2"/>
    <n v="140000"/>
    <n v="4500"/>
    <x v="0"/>
  </r>
  <r>
    <s v="C020"/>
    <s v="Nisha Arora"/>
    <x v="1"/>
    <s v="Mumbai Central"/>
    <x v="1"/>
    <x v="1"/>
    <n v="115000"/>
    <d v="2024-04-17T00:00:00"/>
    <s v="Withdrawal"/>
    <n v="15000"/>
    <x v="1"/>
    <n v="320000"/>
    <n v="9000"/>
    <x v="0"/>
  </r>
  <r>
    <s v="C021"/>
    <s v="Ajay Verma"/>
    <x v="0"/>
    <s v="Delhi North"/>
    <x v="0"/>
    <x v="0"/>
    <n v="69000"/>
    <d v="2024-04-06T00:00:00"/>
    <s v="Deposit"/>
    <n v="18000"/>
    <x v="3"/>
    <s v="NULL"/>
    <s v="NULL"/>
    <x v="2"/>
  </r>
  <r>
    <s v="C022"/>
    <s v="Sunita Mishra"/>
    <x v="6"/>
    <s v="Lucknow East"/>
    <x v="0"/>
    <x v="0"/>
    <n v="53000"/>
    <d v="2024-04-12T00:00:00"/>
    <s v="Withdrawal"/>
    <n v="4000"/>
    <x v="2"/>
    <n v="110000"/>
    <n v="3500"/>
    <x v="0"/>
  </r>
  <r>
    <s v="C023"/>
    <s v="Rajesh Khanna"/>
    <x v="0"/>
    <s v="Delhi Central"/>
    <x v="2"/>
    <x v="1"/>
    <n v="125000"/>
    <d v="2024-04-10T00:00:00"/>
    <s v="Deposit"/>
    <n v="60000"/>
    <x v="0"/>
    <n v="750000"/>
    <n v="22000"/>
    <x v="0"/>
  </r>
  <r>
    <s v="C024"/>
    <s v="Pooja Singh"/>
    <x v="9"/>
    <s v="Jaipur South"/>
    <x v="0"/>
    <x v="0"/>
    <n v="61000"/>
    <d v="2024-04-08T00:00:00"/>
    <s v="Withdrawal"/>
    <n v="7000"/>
    <x v="3"/>
    <s v="NULL"/>
    <s v="NULL"/>
    <x v="2"/>
  </r>
  <r>
    <s v="C025"/>
    <s v="Ravi Shukla"/>
    <x v="10"/>
    <s v="Kanpur Central"/>
    <x v="0"/>
    <x v="0"/>
    <n v="48000"/>
    <d v="2024-04-11T00:00:00"/>
    <s v="Deposit"/>
    <n v="12000"/>
    <x v="2"/>
    <n v="100000"/>
    <n v="3000"/>
    <x v="0"/>
  </r>
  <r>
    <s v="C026"/>
    <s v="Alok Jain"/>
    <x v="0"/>
    <s v="Delhi East"/>
    <x v="1"/>
    <x v="1"/>
    <n v="140000"/>
    <d v="2024-04-18T00:00:00"/>
    <s v="Deposit"/>
    <n v="70000"/>
    <x v="0"/>
    <n v="800000"/>
    <n v="25000"/>
    <x v="0"/>
  </r>
  <r>
    <s v="C027"/>
    <s v="Simran Kaur"/>
    <x v="11"/>
    <s v="Chandigarh Central"/>
    <x v="0"/>
    <x v="0"/>
    <n v="62000"/>
    <d v="2024-04-14T00:00:00"/>
    <s v="Withdrawal"/>
    <n v="5000"/>
    <x v="3"/>
    <s v="NULL"/>
    <s v="NULL"/>
    <x v="2"/>
  </r>
  <r>
    <s v="C028"/>
    <s v="Tarun Gupta"/>
    <x v="12"/>
    <s v="Noida Sector 18"/>
    <x v="2"/>
    <x v="1"/>
    <n v="98000"/>
    <d v="2024-04-15T00:00:00"/>
    <s v="Deposit"/>
    <n v="35000"/>
    <x v="1"/>
    <n v="270000"/>
    <n v="8000"/>
    <x v="0"/>
  </r>
  <r>
    <s v="C029"/>
    <s v="Rohit Sharma"/>
    <x v="1"/>
    <s v="Mumbai West"/>
    <x v="0"/>
    <x v="0"/>
    <n v="83000"/>
    <d v="2024-04-16T00:00:00"/>
    <s v="Withdrawal"/>
    <n v="6000"/>
    <x v="2"/>
    <n v="130000"/>
    <n v="4500"/>
    <x v="0"/>
  </r>
  <r>
    <s v="C030"/>
    <s v="Kiran Das"/>
    <x v="2"/>
    <s v="Kolkata South"/>
    <x v="0"/>
    <x v="0"/>
    <n v="54000"/>
    <d v="2024-04-13T00:00:00"/>
    <s v="Deposit"/>
    <n v="15000"/>
    <x v="3"/>
    <s v="NULL"/>
    <s v="NULL"/>
    <x v="2"/>
  </r>
  <r>
    <s v="C031"/>
    <s v="Vivek Singh"/>
    <x v="0"/>
    <s v="Delhi North"/>
    <x v="2"/>
    <x v="1"/>
    <n v="150000"/>
    <d v="2024-04-18T00:00:00"/>
    <s v="Deposit"/>
    <n v="80000"/>
    <x v="0"/>
    <n v="900000"/>
    <n v="28000"/>
    <x v="0"/>
  </r>
  <r>
    <s v="C032"/>
    <s v="Aisha Khan"/>
    <x v="7"/>
    <s v="Hyderabad East"/>
    <x v="1"/>
    <x v="0"/>
    <n v="87000"/>
    <d v="2024-04-17T00:00:00"/>
    <s v="Withdrawal"/>
    <n v="9000"/>
    <x v="2"/>
    <n v="170000"/>
    <n v="5500"/>
    <x v="0"/>
  </r>
  <r>
    <s v="C033"/>
    <s v="Nitin Agarwal"/>
    <x v="9"/>
    <s v="Jaipur Central"/>
    <x v="0"/>
    <x v="0"/>
    <n v="56000"/>
    <d v="2024-04-15T00:00:00"/>
    <s v="Deposit"/>
    <n v="20000"/>
    <x v="3"/>
    <s v="NULL"/>
    <s v="NULL"/>
    <x v="2"/>
  </r>
  <r>
    <s v="C034"/>
    <s v="Pankaj Verma"/>
    <x v="6"/>
    <s v="Lucknow West"/>
    <x v="2"/>
    <x v="1"/>
    <n v="102000"/>
    <d v="2024-04-14T00:00:00"/>
    <s v="Withdrawal"/>
    <n v="11000"/>
    <x v="1"/>
    <n v="290000"/>
    <n v="8500"/>
    <x v="0"/>
  </r>
  <r>
    <s v="C035"/>
    <s v="Rekha Iyer"/>
    <x v="4"/>
    <s v="Chennai South"/>
    <x v="0"/>
    <x v="0"/>
    <n v="76000"/>
    <d v="2024-04-13T00:00:00"/>
    <s v="Deposit"/>
    <n v="22000"/>
    <x v="2"/>
    <n v="190000"/>
    <n v="6000"/>
    <x v="0"/>
  </r>
  <r>
    <s v="C036"/>
    <s v="Ankit Sharma"/>
    <x v="0"/>
    <s v="Delhi South"/>
    <x v="0"/>
    <x v="0"/>
    <n v="67000"/>
    <d v="2024-04-12T00:00:00"/>
    <s v="Withdrawal"/>
    <n v="5000"/>
    <x v="3"/>
    <s v="NULL"/>
    <s v="NULL"/>
    <x v="2"/>
  </r>
  <r>
    <s v="C037"/>
    <s v="Varun Kapoor"/>
    <x v="1"/>
    <s v="Mumbai Central"/>
    <x v="1"/>
    <x v="1"/>
    <n v="135000"/>
    <d v="2024-04-18T00:00:00"/>
    <s v="Deposit"/>
    <n v="65000"/>
    <x v="0"/>
    <n v="720000"/>
    <n v="21000"/>
    <x v="0"/>
  </r>
  <r>
    <s v="C038"/>
    <s v="Shreya Bose"/>
    <x v="2"/>
    <s v="Kolkata East"/>
    <x v="0"/>
    <x v="0"/>
    <n v="59000"/>
    <d v="2024-04-11T00:00:00"/>
    <s v="Withdrawal"/>
    <n v="4500"/>
    <x v="3"/>
    <s v="NULL"/>
    <s v="NULL"/>
    <x v="2"/>
  </r>
  <r>
    <s v="C039"/>
    <s v="Harsh Patel"/>
    <x v="5"/>
    <s v="Ahmedabad North"/>
    <x v="0"/>
    <x v="0"/>
    <n v="61000"/>
    <d v="2024-04-16T00:00:00"/>
    <s v="Deposit"/>
    <n v="17000"/>
    <x v="2"/>
    <n v="125000"/>
    <n v="4000"/>
    <x v="0"/>
  </r>
  <r>
    <s v="C040"/>
    <s v="Neeraj Singh"/>
    <x v="8"/>
    <s v="Patna Main"/>
    <x v="2"/>
    <x v="1"/>
    <n v="108000"/>
    <d v="2024-04-15T00:00:00"/>
    <s v="Withdrawal"/>
    <n v="12000"/>
    <x v="0"/>
    <n v="580000"/>
    <n v="17000"/>
    <x v="0"/>
  </r>
  <r>
    <s v="C041"/>
    <s v="Isha Arora"/>
    <x v="0"/>
    <s v="Delhi West"/>
    <x v="1"/>
    <x v="0"/>
    <n v="91000"/>
    <d v="2024-04-17T00:00:00"/>
    <s v="Deposit"/>
    <n v="30000"/>
    <x v="1"/>
    <n v="260000"/>
    <n v="7500"/>
    <x v="0"/>
  </r>
  <r>
    <s v="C042"/>
    <s v="Kunal Mehta"/>
    <x v="1"/>
    <s v="Mumbai South"/>
    <x v="0"/>
    <x v="0"/>
    <n v="74000"/>
    <d v="2024-04-14T00:00:00"/>
    <s v="Withdrawal"/>
    <n v="6000"/>
    <x v="3"/>
    <s v="NULL"/>
    <s v="NULL"/>
    <x v="2"/>
  </r>
  <r>
    <s v="C043"/>
    <s v="Gaurav Yadav"/>
    <x v="6"/>
    <s v="Lucknow North"/>
    <x v="0"/>
    <x v="0"/>
    <n v="52000"/>
    <d v="2024-04-13T00:00:00"/>
    <s v="Deposit"/>
    <n v="14000"/>
    <x v="2"/>
    <n v="115000"/>
    <n v="3500"/>
    <x v="0"/>
  </r>
  <r>
    <s v="C044"/>
    <s v="Tanuja Singh"/>
    <x v="9"/>
    <s v="Jaipur East"/>
    <x v="0"/>
    <x v="0"/>
    <n v="60000"/>
    <d v="2024-04-12T00:00:00"/>
    <s v="Withdrawal"/>
    <n v="5000"/>
    <x v="3"/>
    <s v="NULL"/>
    <s v="NULL"/>
    <x v="2"/>
  </r>
  <r>
    <s v="C045"/>
    <s v="Sanjay Gupta"/>
    <x v="0"/>
    <s v="Delhi Central"/>
    <x v="2"/>
    <x v="1"/>
    <n v="145000"/>
    <d v="2024-04-18T00:00:00"/>
    <s v="Deposit"/>
    <n v="75000"/>
    <x v="0"/>
    <n v="850000"/>
    <n v="26000"/>
    <x v="0"/>
  </r>
  <r>
    <s v="C046"/>
    <s v="Pooja Nair"/>
    <x v="3"/>
    <s v="Bangalore North"/>
    <x v="0"/>
    <x v="0"/>
    <n v="68000"/>
    <d v="2024-04-16T00:00:00"/>
    <s v="Withdrawal"/>
    <n v="5500"/>
    <x v="2"/>
    <n v="150000"/>
    <n v="5000"/>
    <x v="0"/>
  </r>
  <r>
    <s v="C047"/>
    <s v="Ashok Kumar"/>
    <x v="8"/>
    <s v="Patna East"/>
    <x v="0"/>
    <x v="0"/>
    <n v="49000"/>
    <d v="2024-04-15T00:00:00"/>
    <s v="Deposit"/>
    <n v="13000"/>
    <x v="3"/>
    <s v="NULL"/>
    <s v="NULL"/>
    <x v="2"/>
  </r>
  <r>
    <s v="C048"/>
    <s v="Ramesh Verma"/>
    <x v="10"/>
    <s v="Kanpur South"/>
    <x v="2"/>
    <x v="1"/>
    <n v="97000"/>
    <d v="2024-04-14T00:00:00"/>
    <s v="Withdrawal"/>
    <n v="10000"/>
    <x v="1"/>
    <n v="240000"/>
    <n v="7000"/>
    <x v="0"/>
  </r>
  <r>
    <s v="C049"/>
    <s v="Kavya Reddy"/>
    <x v="7"/>
    <s v="Hyderabad Central"/>
    <x v="1"/>
    <x v="0"/>
    <n v="88000"/>
    <d v="2024-04-17T00:00:00"/>
    <s v="Deposit"/>
    <n v="28000"/>
    <x v="2"/>
    <n v="175000"/>
    <n v="5500"/>
    <x v="0"/>
  </r>
  <r>
    <s v="C050"/>
    <s v="Imran Khan"/>
    <x v="0"/>
    <s v="Delhi North"/>
    <x v="0"/>
    <x v="0"/>
    <n v="66000"/>
    <d v="2024-04-18T00:00:00"/>
    <s v="Withdrawal"/>
    <n v="6000"/>
    <x v="3"/>
    <s v="NULL"/>
    <s v="NULL"/>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3B0BD6-7870-4307-BE89-BA85DAB6AFA5}" name="PivotTable10"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6:H10" firstHeaderRow="1" firstDataRow="1" firstDataCol="1"/>
  <pivotFields count="14">
    <pivotField dataField="1" showAll="0"/>
    <pivotField showAll="0"/>
    <pivotField showAll="0"/>
    <pivotField showAll="0"/>
    <pivotField showAll="0"/>
    <pivotField showAll="0"/>
    <pivotField showAll="0"/>
    <pivotField numFmtId="14" showAll="0"/>
    <pivotField showAll="0"/>
    <pivotField showAll="0"/>
    <pivotField showAll="0"/>
    <pivotField showAll="0"/>
    <pivotField showAll="0"/>
    <pivotField axis="axisRow" showAll="0">
      <items count="4">
        <item x="0"/>
        <item x="1"/>
        <item x="2"/>
        <item t="default"/>
      </items>
    </pivotField>
  </pivotFields>
  <rowFields count="1">
    <field x="13"/>
  </rowFields>
  <rowItems count="4">
    <i>
      <x/>
    </i>
    <i>
      <x v="1"/>
    </i>
    <i>
      <x v="2"/>
    </i>
    <i t="grand">
      <x/>
    </i>
  </rowItems>
  <colItems count="1">
    <i/>
  </colItems>
  <dataFields count="1">
    <dataField name="Count of Customer_ID"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9F0991-EBCA-410D-9823-8E5960FF19A2}" name="PivotTable9"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6:F11" firstHeaderRow="1" firstDataRow="1" firstDataCol="1"/>
  <pivotFields count="14">
    <pivotField showAll="0"/>
    <pivotField showAll="0"/>
    <pivotField showAll="0"/>
    <pivotField showAll="0"/>
    <pivotField showAll="0"/>
    <pivotField showAll="0"/>
    <pivotField showAll="0"/>
    <pivotField numFmtId="14" showAll="0"/>
    <pivotField showAll="0"/>
    <pivotField showAll="0"/>
    <pivotField axis="axisRow" showAll="0">
      <items count="5">
        <item x="1"/>
        <item x="0"/>
        <item x="3"/>
        <item x="2"/>
        <item t="default"/>
      </items>
    </pivotField>
    <pivotField dataField="1" showAll="0"/>
    <pivotField showAll="0"/>
    <pivotField showAll="0">
      <items count="4">
        <item x="0"/>
        <item x="1"/>
        <item x="2"/>
        <item t="default"/>
      </items>
    </pivotField>
  </pivotFields>
  <rowFields count="1">
    <field x="10"/>
  </rowFields>
  <rowItems count="5">
    <i>
      <x/>
    </i>
    <i>
      <x v="1"/>
    </i>
    <i>
      <x v="2"/>
    </i>
    <i>
      <x v="3"/>
    </i>
    <i t="grand">
      <x/>
    </i>
  </rowItems>
  <colItems count="1">
    <i/>
  </colItems>
  <dataFields count="1">
    <dataField name="Sum of Loan_Amount" fld="11" baseField="1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65C6AF-F2E9-4504-8A2A-DF266CBBFE9C}" name="PivotTable8"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6:D10" firstHeaderRow="1" firstDataRow="1" firstDataCol="1"/>
  <pivotFields count="14">
    <pivotField dataField="1" showAll="0"/>
    <pivotField showAll="0"/>
    <pivotField showAll="0"/>
    <pivotField showAll="0"/>
    <pivotField axis="axisRow" showAll="0">
      <items count="4">
        <item x="2"/>
        <item x="1"/>
        <item x="0"/>
        <item t="default"/>
      </items>
    </pivotField>
    <pivotField showAll="0"/>
    <pivotField showAll="0"/>
    <pivotField numFmtId="14" showAll="0"/>
    <pivotField showAll="0"/>
    <pivotField showAll="0"/>
    <pivotField showAll="0"/>
    <pivotField showAll="0"/>
    <pivotField showAll="0"/>
    <pivotField showAll="0">
      <items count="4">
        <item x="0"/>
        <item x="1"/>
        <item x="2"/>
        <item t="default"/>
      </items>
    </pivotField>
  </pivotFields>
  <rowFields count="1">
    <field x="4"/>
  </rowFields>
  <rowItems count="4">
    <i>
      <x/>
    </i>
    <i>
      <x v="1"/>
    </i>
    <i>
      <x v="2"/>
    </i>
    <i t="grand">
      <x/>
    </i>
  </rowItems>
  <colItems count="1">
    <i/>
  </colItems>
  <dataFields count="1">
    <dataField name="Count of Customer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AA0588-F9A4-418B-9C6B-EF8E2BE9EA7E}" name="PivotTable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B20" firstHeaderRow="1" firstDataRow="1" firstDataCol="1"/>
  <pivotFields count="14">
    <pivotField showAll="0"/>
    <pivotField showAll="0"/>
    <pivotField axis="axisRow" showAll="0">
      <items count="14">
        <item x="5"/>
        <item x="3"/>
        <item x="11"/>
        <item x="4"/>
        <item x="0"/>
        <item x="7"/>
        <item x="9"/>
        <item x="10"/>
        <item x="2"/>
        <item x="6"/>
        <item x="1"/>
        <item x="12"/>
        <item x="8"/>
        <item t="default"/>
      </items>
    </pivotField>
    <pivotField showAll="0"/>
    <pivotField showAll="0">
      <items count="4">
        <item x="2"/>
        <item x="1"/>
        <item x="0"/>
        <item t="default"/>
      </items>
    </pivotField>
    <pivotField showAll="0">
      <items count="3">
        <item x="1"/>
        <item x="0"/>
        <item t="default"/>
      </items>
    </pivotField>
    <pivotField dataField="1" showAll="0"/>
    <pivotField numFmtId="14" showAll="0"/>
    <pivotField showAll="0"/>
    <pivotField showAll="0"/>
    <pivotField showAll="0"/>
    <pivotField showAll="0"/>
    <pivotField showAll="0"/>
    <pivotField showAll="0">
      <items count="4">
        <item x="0"/>
        <item x="1"/>
        <item x="2"/>
        <item t="default"/>
      </items>
    </pivotField>
  </pivotFields>
  <rowFields count="1">
    <field x="2"/>
  </rowFields>
  <rowItems count="14">
    <i>
      <x/>
    </i>
    <i>
      <x v="1"/>
    </i>
    <i>
      <x v="2"/>
    </i>
    <i>
      <x v="3"/>
    </i>
    <i>
      <x v="4"/>
    </i>
    <i>
      <x v="5"/>
    </i>
    <i>
      <x v="6"/>
    </i>
    <i>
      <x v="7"/>
    </i>
    <i>
      <x v="8"/>
    </i>
    <i>
      <x v="9"/>
    </i>
    <i>
      <x v="10"/>
    </i>
    <i>
      <x v="11"/>
    </i>
    <i>
      <x v="12"/>
    </i>
    <i t="grand">
      <x/>
    </i>
  </rowItems>
  <colItems count="1">
    <i/>
  </colItems>
  <dataFields count="1">
    <dataField name="Sum of Balance"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440160D-4A91-4CCC-BF29-F8922918D0DF}" sourceName="City">
  <pivotTables>
    <pivotTable tabId="3" name="PivotTable7"/>
  </pivotTables>
  <data>
    <tabular pivotCacheId="1443828726">
      <items count="13">
        <i x="5" s="1"/>
        <i x="3" s="1"/>
        <i x="11" s="1"/>
        <i x="4" s="1"/>
        <i x="0" s="1"/>
        <i x="7" s="1"/>
        <i x="9" s="1"/>
        <i x="10" s="1"/>
        <i x="2" s="1"/>
        <i x="6" s="1"/>
        <i x="1" s="1"/>
        <i x="12"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8ACB937-9ADB-4D9C-9DB1-6FF8F85C4545}" sourceName="Segment">
  <pivotTables>
    <pivotTable tabId="3" name="PivotTable7"/>
  </pivotTables>
  <data>
    <tabular pivotCacheId="144382872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Type" xr10:uid="{EC429EED-DDEA-4525-9184-2C736BEF9392}" sourceName="Account_Type">
  <pivotTables>
    <pivotTable tabId="3" name="PivotTable7"/>
  </pivotTables>
  <data>
    <tabular pivotCacheId="144382872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 xr10:uid="{7D66534E-EF9B-435C-BE3B-734BD78AC7E5}" sourceName="Loan_Status">
  <pivotTables>
    <pivotTable tabId="3" name="PivotTable7"/>
    <pivotTable tabId="3" name="PivotTable10"/>
    <pivotTable tabId="3" name="PivotTable8"/>
    <pivotTable tabId="3" name="PivotTable9"/>
  </pivotTables>
  <data>
    <tabular pivotCacheId="144382872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64D6882-6D71-4B46-BDCF-56F9707638A4}" cache="Slicer_City" caption="City" rowHeight="241300"/>
  <slicer name="Segment" xr10:uid="{599EF893-0543-4870-AA9B-1AB833C40693}" cache="Slicer_Segment" caption="Segment" rowHeight="241300"/>
  <slicer name="Account_Type" xr10:uid="{199A35C9-8F74-4264-9072-DF0BE6A08BF1}" cache="Slicer_Account_Type" caption="Account_Type" rowHeight="241300"/>
  <slicer name="Loan_Status" xr10:uid="{57ABD829-B893-4F87-BFF6-020BF20CF9B8}" cache="Slicer_Loan_Status" caption="Loan_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0670D1-2F23-411B-B94B-ED0E75B98E1F}" name="Table1" displayName="Table1" ref="A1:N51" totalsRowShown="0" headerRowDxfId="0" dataDxfId="1">
  <autoFilter ref="A1:N51" xr:uid="{CA0670D1-2F23-411B-B94B-ED0E75B98E1F}"/>
  <tableColumns count="14">
    <tableColumn id="1" xr3:uid="{03BBAEC1-FD5D-49C0-9522-26F5D4FA9194}" name="Customer_ID" dataDxfId="15"/>
    <tableColumn id="2" xr3:uid="{84C72665-6F15-4ECE-953E-8274585FC24A}" name="Customer_Name" dataDxfId="14"/>
    <tableColumn id="3" xr3:uid="{BEBC6835-9324-4D60-ABF7-DADB0A589489}" name="City" dataDxfId="13"/>
    <tableColumn id="4" xr3:uid="{004265BB-190A-47BD-A98C-0E526541EA59}" name="Branch" dataDxfId="12"/>
    <tableColumn id="5" xr3:uid="{D275BA3C-E3D8-4660-8C2D-9A9BCD46A7DF}" name="Segment" dataDxfId="11"/>
    <tableColumn id="6" xr3:uid="{4189DD4C-078E-4AD7-B27D-083B28F7013A}" name="Account_Type" dataDxfId="10"/>
    <tableColumn id="7" xr3:uid="{2841D301-4B13-49A5-82C2-D330037E049F}" name="Balance" dataDxfId="9"/>
    <tableColumn id="8" xr3:uid="{DFF6E770-5C0D-415A-9FFC-AF6E54E1865C}" name="Last_Transaction_Date" dataDxfId="8"/>
    <tableColumn id="9" xr3:uid="{954729CD-4438-4C3E-B5E5-D5BAB13001F2}" name="Last_Transaction_Type" dataDxfId="7"/>
    <tableColumn id="10" xr3:uid="{1197AD31-0DE0-4080-8966-0E5A61B80A71}" name="Last_Transaction_Amount" dataDxfId="6"/>
    <tableColumn id="11" xr3:uid="{B15741AE-F057-4EEC-87D7-34F357625560}" name="Loan_Type" dataDxfId="5"/>
    <tableColumn id="12" xr3:uid="{1D6FE219-FE82-4FAE-AC29-7AF79467A42C}" name="Loan_Amount" dataDxfId="4"/>
    <tableColumn id="13" xr3:uid="{FDBE99CF-E107-4BCF-8AE2-6D8ED5BE0609}" name="EMI" dataDxfId="3"/>
    <tableColumn id="14" xr3:uid="{A5BBA572-FDEB-46B1-9802-54CA4DB1BC5A}" name="Loan_Statu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7E31D-D3F5-4BB0-9B67-F7F2E9CC04A2}">
  <dimension ref="A1:N51"/>
  <sheetViews>
    <sheetView topLeftCell="D31" workbookViewId="0">
      <selection activeCell="H52" sqref="H52"/>
    </sheetView>
  </sheetViews>
  <sheetFormatPr defaultRowHeight="15" x14ac:dyDescent="0.25"/>
  <cols>
    <col min="1" max="1" width="14.5703125" customWidth="1"/>
    <col min="2" max="2" width="18" customWidth="1"/>
    <col min="3" max="3" width="12.140625" customWidth="1"/>
    <col min="4" max="4" width="20.42578125" customWidth="1"/>
    <col min="5" max="5" width="11" customWidth="1"/>
    <col min="6" max="6" width="16.85546875" customWidth="1"/>
    <col min="7" max="7" width="10" customWidth="1"/>
    <col min="8" max="8" width="22.85546875" customWidth="1"/>
    <col min="9" max="9" width="23.5703125" customWidth="1"/>
    <col min="10" max="10" width="25.85546875" customWidth="1"/>
    <col min="11" max="11" width="13.140625" customWidth="1"/>
    <col min="12" max="12" width="15.42578125" customWidth="1"/>
    <col min="14" max="14" width="13.7109375" customWidth="1"/>
  </cols>
  <sheetData>
    <row r="1" spans="1:14" ht="30"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5">
      <c r="A2" s="1" t="s">
        <v>14</v>
      </c>
      <c r="B2" s="1" t="s">
        <v>15</v>
      </c>
      <c r="C2" s="1" t="s">
        <v>16</v>
      </c>
      <c r="D2" s="1" t="s">
        <v>17</v>
      </c>
      <c r="E2" s="1" t="s">
        <v>18</v>
      </c>
      <c r="F2" s="1" t="s">
        <v>19</v>
      </c>
      <c r="G2" s="1">
        <v>45000</v>
      </c>
      <c r="H2" s="3">
        <v>45387</v>
      </c>
      <c r="I2" s="1" t="s">
        <v>20</v>
      </c>
      <c r="J2" s="1">
        <v>10000</v>
      </c>
      <c r="K2" s="1" t="s">
        <v>21</v>
      </c>
      <c r="L2" s="1">
        <v>500000</v>
      </c>
      <c r="M2" s="1">
        <v>15000</v>
      </c>
      <c r="N2" s="1" t="s">
        <v>22</v>
      </c>
    </row>
    <row r="3" spans="1:14" x14ac:dyDescent="0.25">
      <c r="A3" s="1" t="s">
        <v>23</v>
      </c>
      <c r="B3" s="1" t="s">
        <v>24</v>
      </c>
      <c r="C3" s="1" t="s">
        <v>25</v>
      </c>
      <c r="D3" s="1" t="s">
        <v>26</v>
      </c>
      <c r="E3" s="1" t="s">
        <v>27</v>
      </c>
      <c r="F3" s="1" t="s">
        <v>28</v>
      </c>
      <c r="G3" s="1">
        <v>120000</v>
      </c>
      <c r="H3" s="3">
        <v>45392</v>
      </c>
      <c r="I3" s="1" t="s">
        <v>29</v>
      </c>
      <c r="J3" s="1">
        <v>12000</v>
      </c>
      <c r="K3" s="1" t="s">
        <v>30</v>
      </c>
      <c r="L3" s="1">
        <v>300000</v>
      </c>
      <c r="M3" s="1">
        <v>8000</v>
      </c>
      <c r="N3" s="1" t="s">
        <v>31</v>
      </c>
    </row>
    <row r="4" spans="1:14" x14ac:dyDescent="0.25">
      <c r="A4" s="1" t="s">
        <v>32</v>
      </c>
      <c r="B4" s="1" t="s">
        <v>33</v>
      </c>
      <c r="C4" s="1" t="s">
        <v>34</v>
      </c>
      <c r="D4" s="1" t="s">
        <v>35</v>
      </c>
      <c r="E4" s="1" t="s">
        <v>18</v>
      </c>
      <c r="F4" s="1" t="s">
        <v>19</v>
      </c>
      <c r="G4" s="1">
        <v>80000</v>
      </c>
      <c r="H4" s="3">
        <v>45379</v>
      </c>
      <c r="I4" s="1" t="s">
        <v>20</v>
      </c>
      <c r="J4" s="1">
        <v>20000</v>
      </c>
      <c r="K4" s="1" t="s">
        <v>36</v>
      </c>
      <c r="L4" s="1">
        <v>200000</v>
      </c>
      <c r="M4" s="1">
        <v>6000</v>
      </c>
      <c r="N4" s="1" t="s">
        <v>22</v>
      </c>
    </row>
    <row r="5" spans="1:14" x14ac:dyDescent="0.25">
      <c r="A5" s="1" t="s">
        <v>37</v>
      </c>
      <c r="B5" s="1" t="s">
        <v>38</v>
      </c>
      <c r="C5" s="1" t="s">
        <v>39</v>
      </c>
      <c r="D5" s="1" t="s">
        <v>40</v>
      </c>
      <c r="E5" s="1" t="s">
        <v>18</v>
      </c>
      <c r="F5" s="1" t="s">
        <v>19</v>
      </c>
      <c r="G5" s="1">
        <v>60000</v>
      </c>
      <c r="H5" s="3">
        <v>45384</v>
      </c>
      <c r="I5" s="1" t="s">
        <v>29</v>
      </c>
      <c r="J5" s="1">
        <v>4000</v>
      </c>
      <c r="K5" s="1" t="s">
        <v>41</v>
      </c>
      <c r="L5" s="1" t="s">
        <v>41</v>
      </c>
      <c r="M5" s="1" t="s">
        <v>41</v>
      </c>
      <c r="N5" s="1" t="s">
        <v>41</v>
      </c>
    </row>
    <row r="6" spans="1:14" x14ac:dyDescent="0.25">
      <c r="A6" s="1" t="s">
        <v>42</v>
      </c>
      <c r="B6" s="1" t="s">
        <v>43</v>
      </c>
      <c r="C6" s="1" t="s">
        <v>16</v>
      </c>
      <c r="D6" s="1" t="s">
        <v>44</v>
      </c>
      <c r="E6" s="1" t="s">
        <v>45</v>
      </c>
      <c r="F6" s="1" t="s">
        <v>28</v>
      </c>
      <c r="G6" s="1">
        <v>90000</v>
      </c>
      <c r="H6" s="3">
        <v>45394</v>
      </c>
      <c r="I6" s="1" t="s">
        <v>20</v>
      </c>
      <c r="J6" s="1">
        <v>25000</v>
      </c>
      <c r="K6" s="1" t="s">
        <v>21</v>
      </c>
      <c r="L6" s="1">
        <v>600000</v>
      </c>
      <c r="M6" s="1">
        <v>18000</v>
      </c>
      <c r="N6" s="1" t="s">
        <v>22</v>
      </c>
    </row>
    <row r="7" spans="1:14" x14ac:dyDescent="0.25">
      <c r="A7" s="1" t="s">
        <v>46</v>
      </c>
      <c r="B7" s="1" t="s">
        <v>47</v>
      </c>
      <c r="C7" s="1" t="s">
        <v>48</v>
      </c>
      <c r="D7" s="1" t="s">
        <v>49</v>
      </c>
      <c r="E7" s="1" t="s">
        <v>18</v>
      </c>
      <c r="F7" s="1" t="s">
        <v>19</v>
      </c>
      <c r="G7" s="1">
        <v>70000</v>
      </c>
      <c r="H7" s="3">
        <v>45371</v>
      </c>
      <c r="I7" s="1" t="s">
        <v>29</v>
      </c>
      <c r="J7" s="1">
        <v>5000</v>
      </c>
      <c r="K7" s="1" t="s">
        <v>36</v>
      </c>
      <c r="L7" s="1">
        <v>150000</v>
      </c>
      <c r="M7" s="1">
        <v>5000</v>
      </c>
      <c r="N7" s="1" t="s">
        <v>22</v>
      </c>
    </row>
    <row r="8" spans="1:14" x14ac:dyDescent="0.25">
      <c r="A8" s="1" t="s">
        <v>50</v>
      </c>
      <c r="B8" s="1" t="s">
        <v>51</v>
      </c>
      <c r="C8" s="1" t="s">
        <v>52</v>
      </c>
      <c r="D8" s="1" t="s">
        <v>53</v>
      </c>
      <c r="E8" s="1" t="s">
        <v>18</v>
      </c>
      <c r="F8" s="1" t="s">
        <v>19</v>
      </c>
      <c r="G8" s="1">
        <v>50000</v>
      </c>
      <c r="H8" s="3">
        <v>45388</v>
      </c>
      <c r="I8" s="1" t="s">
        <v>20</v>
      </c>
      <c r="J8" s="1">
        <v>12000</v>
      </c>
      <c r="K8" s="1" t="s">
        <v>41</v>
      </c>
      <c r="L8" s="1" t="s">
        <v>41</v>
      </c>
      <c r="M8" s="1" t="s">
        <v>41</v>
      </c>
      <c r="N8" s="1" t="s">
        <v>41</v>
      </c>
    </row>
    <row r="9" spans="1:14" x14ac:dyDescent="0.25">
      <c r="A9" s="1" t="s">
        <v>54</v>
      </c>
      <c r="B9" s="1" t="s">
        <v>55</v>
      </c>
      <c r="C9" s="1" t="s">
        <v>16</v>
      </c>
      <c r="D9" s="1" t="s">
        <v>56</v>
      </c>
      <c r="E9" s="1" t="s">
        <v>27</v>
      </c>
      <c r="F9" s="1" t="s">
        <v>28</v>
      </c>
      <c r="G9" s="1">
        <v>110000</v>
      </c>
      <c r="H9" s="3">
        <v>45397</v>
      </c>
      <c r="I9" s="1" t="s">
        <v>29</v>
      </c>
      <c r="J9" s="1">
        <v>15000</v>
      </c>
      <c r="K9" s="1" t="s">
        <v>30</v>
      </c>
      <c r="L9" s="1">
        <v>250000</v>
      </c>
      <c r="M9" s="1">
        <v>7000</v>
      </c>
      <c r="N9" s="1" t="s">
        <v>22</v>
      </c>
    </row>
    <row r="10" spans="1:14" x14ac:dyDescent="0.25">
      <c r="A10" s="1" t="s">
        <v>57</v>
      </c>
      <c r="B10" s="1" t="s">
        <v>58</v>
      </c>
      <c r="C10" s="1" t="s">
        <v>34</v>
      </c>
      <c r="D10" s="1" t="s">
        <v>59</v>
      </c>
      <c r="E10" s="1" t="s">
        <v>18</v>
      </c>
      <c r="F10" s="1" t="s">
        <v>19</v>
      </c>
      <c r="G10" s="1">
        <v>65000</v>
      </c>
      <c r="H10" s="3">
        <v>45381</v>
      </c>
      <c r="I10" s="1" t="s">
        <v>20</v>
      </c>
      <c r="J10" s="1">
        <v>18000</v>
      </c>
      <c r="K10" s="1" t="s">
        <v>41</v>
      </c>
      <c r="L10" s="1" t="s">
        <v>41</v>
      </c>
      <c r="M10" s="1" t="s">
        <v>41</v>
      </c>
      <c r="N10" s="1" t="s">
        <v>41</v>
      </c>
    </row>
    <row r="11" spans="1:14" x14ac:dyDescent="0.25">
      <c r="A11" s="1" t="s">
        <v>60</v>
      </c>
      <c r="B11" s="1" t="s">
        <v>61</v>
      </c>
      <c r="C11" s="1" t="s">
        <v>39</v>
      </c>
      <c r="D11" s="1" t="s">
        <v>62</v>
      </c>
      <c r="E11" s="1" t="s">
        <v>27</v>
      </c>
      <c r="F11" s="1" t="s">
        <v>19</v>
      </c>
      <c r="G11" s="1">
        <v>75000</v>
      </c>
      <c r="H11" s="3">
        <v>45400</v>
      </c>
      <c r="I11" s="1" t="s">
        <v>29</v>
      </c>
      <c r="J11" s="1">
        <v>5500</v>
      </c>
      <c r="K11" s="1" t="s">
        <v>36</v>
      </c>
      <c r="L11" s="1">
        <v>180000</v>
      </c>
      <c r="M11" s="1">
        <v>5500</v>
      </c>
      <c r="N11" s="1" t="s">
        <v>22</v>
      </c>
    </row>
    <row r="12" spans="1:14" x14ac:dyDescent="0.25">
      <c r="A12" s="1" t="s">
        <v>63</v>
      </c>
      <c r="B12" s="1" t="s">
        <v>64</v>
      </c>
      <c r="C12" s="1" t="s">
        <v>16</v>
      </c>
      <c r="D12" s="1" t="s">
        <v>65</v>
      </c>
      <c r="E12" s="1" t="s">
        <v>45</v>
      </c>
      <c r="F12" s="1" t="s">
        <v>28</v>
      </c>
      <c r="G12" s="1">
        <v>130000</v>
      </c>
      <c r="H12" s="3">
        <v>45393</v>
      </c>
      <c r="I12" s="1" t="s">
        <v>20</v>
      </c>
      <c r="J12" s="1">
        <v>55000</v>
      </c>
      <c r="K12" s="1" t="s">
        <v>21</v>
      </c>
      <c r="L12" s="1">
        <v>700000</v>
      </c>
      <c r="M12" s="1">
        <v>20000</v>
      </c>
      <c r="N12" s="1" t="s">
        <v>22</v>
      </c>
    </row>
    <row r="13" spans="1:14" x14ac:dyDescent="0.25">
      <c r="A13" s="1" t="s">
        <v>66</v>
      </c>
      <c r="B13" s="1" t="s">
        <v>67</v>
      </c>
      <c r="C13" s="1" t="s">
        <v>25</v>
      </c>
      <c r="D13" s="1" t="s">
        <v>68</v>
      </c>
      <c r="E13" s="1" t="s">
        <v>18</v>
      </c>
      <c r="F13" s="1" t="s">
        <v>19</v>
      </c>
      <c r="G13" s="1">
        <v>85000</v>
      </c>
      <c r="H13" s="3">
        <v>45391</v>
      </c>
      <c r="I13" s="1" t="s">
        <v>29</v>
      </c>
      <c r="J13" s="1">
        <v>7000</v>
      </c>
      <c r="K13" s="1" t="s">
        <v>41</v>
      </c>
      <c r="L13" s="1" t="s">
        <v>41</v>
      </c>
      <c r="M13" s="1" t="s">
        <v>41</v>
      </c>
      <c r="N13" s="1" t="s">
        <v>41</v>
      </c>
    </row>
    <row r="14" spans="1:14" x14ac:dyDescent="0.25">
      <c r="A14" s="1" t="s">
        <v>69</v>
      </c>
      <c r="B14" s="1" t="s">
        <v>70</v>
      </c>
      <c r="C14" s="1" t="s">
        <v>71</v>
      </c>
      <c r="D14" s="1" t="s">
        <v>72</v>
      </c>
      <c r="E14" s="1" t="s">
        <v>18</v>
      </c>
      <c r="F14" s="1" t="s">
        <v>19</v>
      </c>
      <c r="G14" s="1">
        <v>40000</v>
      </c>
      <c r="H14" s="3">
        <v>45396</v>
      </c>
      <c r="I14" s="1" t="s">
        <v>20</v>
      </c>
      <c r="J14" s="1">
        <v>10000</v>
      </c>
      <c r="K14" s="1" t="s">
        <v>36</v>
      </c>
      <c r="L14" s="1">
        <v>120000</v>
      </c>
      <c r="M14" s="1">
        <v>4000</v>
      </c>
      <c r="N14" s="1" t="s">
        <v>22</v>
      </c>
    </row>
    <row r="15" spans="1:14" x14ac:dyDescent="0.25">
      <c r="A15" s="1" t="s">
        <v>73</v>
      </c>
      <c r="B15" s="1" t="s">
        <v>74</v>
      </c>
      <c r="C15" s="1" t="s">
        <v>52</v>
      </c>
      <c r="D15" s="1" t="s">
        <v>75</v>
      </c>
      <c r="E15" s="1" t="s">
        <v>27</v>
      </c>
      <c r="F15" s="1" t="s">
        <v>28</v>
      </c>
      <c r="G15" s="1">
        <v>95000</v>
      </c>
      <c r="H15" s="3">
        <v>45376</v>
      </c>
      <c r="I15" s="1" t="s">
        <v>29</v>
      </c>
      <c r="J15" s="1">
        <v>10000</v>
      </c>
      <c r="K15" s="1" t="s">
        <v>30</v>
      </c>
      <c r="L15" s="1">
        <v>280000</v>
      </c>
      <c r="M15" s="1">
        <v>7500</v>
      </c>
      <c r="N15" s="1" t="s">
        <v>31</v>
      </c>
    </row>
    <row r="16" spans="1:14" x14ac:dyDescent="0.25">
      <c r="A16" s="1" t="s">
        <v>76</v>
      </c>
      <c r="B16" s="1" t="s">
        <v>77</v>
      </c>
      <c r="C16" s="1" t="s">
        <v>16</v>
      </c>
      <c r="D16" s="1" t="s">
        <v>78</v>
      </c>
      <c r="E16" s="1" t="s">
        <v>18</v>
      </c>
      <c r="F16" s="1" t="s">
        <v>19</v>
      </c>
      <c r="G16" s="1">
        <v>72000</v>
      </c>
      <c r="H16" s="3">
        <v>45383</v>
      </c>
      <c r="I16" s="1" t="s">
        <v>20</v>
      </c>
      <c r="J16" s="1">
        <v>20000</v>
      </c>
      <c r="K16" s="1" t="s">
        <v>41</v>
      </c>
      <c r="L16" s="1" t="s">
        <v>41</v>
      </c>
      <c r="M16" s="1" t="s">
        <v>41</v>
      </c>
      <c r="N16" s="1" t="s">
        <v>41</v>
      </c>
    </row>
    <row r="17" spans="1:14" x14ac:dyDescent="0.25">
      <c r="A17" s="1" t="s">
        <v>79</v>
      </c>
      <c r="B17" s="1" t="s">
        <v>80</v>
      </c>
      <c r="C17" s="1" t="s">
        <v>81</v>
      </c>
      <c r="D17" s="1" t="s">
        <v>82</v>
      </c>
      <c r="E17" s="1" t="s">
        <v>18</v>
      </c>
      <c r="F17" s="1" t="s">
        <v>19</v>
      </c>
      <c r="G17" s="1">
        <v>68000</v>
      </c>
      <c r="H17" s="3">
        <v>45398</v>
      </c>
      <c r="I17" s="1" t="s">
        <v>29</v>
      </c>
      <c r="J17" s="1">
        <v>6000</v>
      </c>
      <c r="K17" s="1" t="s">
        <v>36</v>
      </c>
      <c r="L17" s="1">
        <v>160000</v>
      </c>
      <c r="M17" s="1">
        <v>5000</v>
      </c>
      <c r="N17" s="1" t="s">
        <v>22</v>
      </c>
    </row>
    <row r="18" spans="1:14" x14ac:dyDescent="0.25">
      <c r="A18" s="1" t="s">
        <v>83</v>
      </c>
      <c r="B18" s="1" t="s">
        <v>84</v>
      </c>
      <c r="C18" s="1" t="s">
        <v>85</v>
      </c>
      <c r="D18" s="1" t="s">
        <v>86</v>
      </c>
      <c r="E18" s="1" t="s">
        <v>45</v>
      </c>
      <c r="F18" s="1" t="s">
        <v>28</v>
      </c>
      <c r="G18" s="1">
        <v>105000</v>
      </c>
      <c r="H18" s="3">
        <v>45395</v>
      </c>
      <c r="I18" s="1" t="s">
        <v>20</v>
      </c>
      <c r="J18" s="1">
        <v>40000</v>
      </c>
      <c r="K18" s="1" t="s">
        <v>21</v>
      </c>
      <c r="L18" s="1">
        <v>550000</v>
      </c>
      <c r="M18" s="1">
        <v>16000</v>
      </c>
      <c r="N18" s="1" t="s">
        <v>22</v>
      </c>
    </row>
    <row r="19" spans="1:14" x14ac:dyDescent="0.25">
      <c r="A19" s="1" t="s">
        <v>87</v>
      </c>
      <c r="B19" s="1" t="s">
        <v>88</v>
      </c>
      <c r="C19" s="1" t="s">
        <v>89</v>
      </c>
      <c r="D19" s="1" t="s">
        <v>90</v>
      </c>
      <c r="E19" s="1" t="s">
        <v>18</v>
      </c>
      <c r="F19" s="1" t="s">
        <v>19</v>
      </c>
      <c r="G19" s="1">
        <v>58000</v>
      </c>
      <c r="H19" s="3">
        <v>45389</v>
      </c>
      <c r="I19" s="1" t="s">
        <v>29</v>
      </c>
      <c r="J19" s="1">
        <v>4000</v>
      </c>
      <c r="K19" s="1" t="s">
        <v>41</v>
      </c>
      <c r="L19" s="1" t="s">
        <v>41</v>
      </c>
      <c r="M19" s="1" t="s">
        <v>41</v>
      </c>
      <c r="N19" s="1" t="s">
        <v>41</v>
      </c>
    </row>
    <row r="20" spans="1:14" x14ac:dyDescent="0.25">
      <c r="A20" s="1" t="s">
        <v>91</v>
      </c>
      <c r="B20" s="1" t="s">
        <v>92</v>
      </c>
      <c r="C20" s="1" t="s">
        <v>16</v>
      </c>
      <c r="D20" s="1" t="s">
        <v>44</v>
      </c>
      <c r="E20" s="1" t="s">
        <v>18</v>
      </c>
      <c r="F20" s="1" t="s">
        <v>19</v>
      </c>
      <c r="G20" s="1">
        <v>77000</v>
      </c>
      <c r="H20" s="3">
        <v>45385</v>
      </c>
      <c r="I20" s="1" t="s">
        <v>20</v>
      </c>
      <c r="J20" s="1">
        <v>25000</v>
      </c>
      <c r="K20" s="1" t="s">
        <v>36</v>
      </c>
      <c r="L20" s="1">
        <v>140000</v>
      </c>
      <c r="M20" s="1">
        <v>4500</v>
      </c>
      <c r="N20" s="1" t="s">
        <v>22</v>
      </c>
    </row>
    <row r="21" spans="1:14" x14ac:dyDescent="0.25">
      <c r="A21" s="1" t="s">
        <v>93</v>
      </c>
      <c r="B21" s="1" t="s">
        <v>94</v>
      </c>
      <c r="C21" s="1" t="s">
        <v>25</v>
      </c>
      <c r="D21" s="1" t="s">
        <v>26</v>
      </c>
      <c r="E21" s="1" t="s">
        <v>27</v>
      </c>
      <c r="F21" s="1" t="s">
        <v>28</v>
      </c>
      <c r="G21" s="1">
        <v>115000</v>
      </c>
      <c r="H21" s="3">
        <v>45399</v>
      </c>
      <c r="I21" s="1" t="s">
        <v>29</v>
      </c>
      <c r="J21" s="1">
        <v>15000</v>
      </c>
      <c r="K21" s="1" t="s">
        <v>30</v>
      </c>
      <c r="L21" s="1">
        <v>320000</v>
      </c>
      <c r="M21" s="1">
        <v>9000</v>
      </c>
      <c r="N21" s="1" t="s">
        <v>22</v>
      </c>
    </row>
    <row r="22" spans="1:14" x14ac:dyDescent="0.25">
      <c r="A22" s="1" t="s">
        <v>95</v>
      </c>
      <c r="B22" s="1" t="s">
        <v>96</v>
      </c>
      <c r="C22" s="1" t="s">
        <v>16</v>
      </c>
      <c r="D22" s="1" t="s">
        <v>17</v>
      </c>
      <c r="E22" s="1" t="s">
        <v>18</v>
      </c>
      <c r="F22" s="1" t="s">
        <v>19</v>
      </c>
      <c r="G22" s="1">
        <v>69000</v>
      </c>
      <c r="H22" s="3">
        <v>45388</v>
      </c>
      <c r="I22" s="1" t="s">
        <v>20</v>
      </c>
      <c r="J22" s="1">
        <v>18000</v>
      </c>
      <c r="K22" s="1" t="s">
        <v>41</v>
      </c>
      <c r="L22" s="1" t="s">
        <v>41</v>
      </c>
      <c r="M22" s="1" t="s">
        <v>41</v>
      </c>
      <c r="N22" s="1" t="s">
        <v>41</v>
      </c>
    </row>
    <row r="23" spans="1:14" x14ac:dyDescent="0.25">
      <c r="A23" s="1" t="s">
        <v>97</v>
      </c>
      <c r="B23" s="1" t="s">
        <v>98</v>
      </c>
      <c r="C23" s="1" t="s">
        <v>71</v>
      </c>
      <c r="D23" s="1" t="s">
        <v>99</v>
      </c>
      <c r="E23" s="1" t="s">
        <v>18</v>
      </c>
      <c r="F23" s="1" t="s">
        <v>19</v>
      </c>
      <c r="G23" s="1">
        <v>53000</v>
      </c>
      <c r="H23" s="3">
        <v>45394</v>
      </c>
      <c r="I23" s="1" t="s">
        <v>29</v>
      </c>
      <c r="J23" s="1">
        <v>4000</v>
      </c>
      <c r="K23" s="1" t="s">
        <v>36</v>
      </c>
      <c r="L23" s="1">
        <v>110000</v>
      </c>
      <c r="M23" s="1">
        <v>3500</v>
      </c>
      <c r="N23" s="1" t="s">
        <v>22</v>
      </c>
    </row>
    <row r="24" spans="1:14" x14ac:dyDescent="0.25">
      <c r="A24" s="1" t="s">
        <v>100</v>
      </c>
      <c r="B24" s="1" t="s">
        <v>101</v>
      </c>
      <c r="C24" s="1" t="s">
        <v>16</v>
      </c>
      <c r="D24" s="1" t="s">
        <v>65</v>
      </c>
      <c r="E24" s="1" t="s">
        <v>45</v>
      </c>
      <c r="F24" s="1" t="s">
        <v>28</v>
      </c>
      <c r="G24" s="1">
        <v>125000</v>
      </c>
      <c r="H24" s="3">
        <v>45392</v>
      </c>
      <c r="I24" s="1" t="s">
        <v>20</v>
      </c>
      <c r="J24" s="1">
        <v>60000</v>
      </c>
      <c r="K24" s="1" t="s">
        <v>21</v>
      </c>
      <c r="L24" s="1">
        <v>750000</v>
      </c>
      <c r="M24" s="1">
        <v>22000</v>
      </c>
      <c r="N24" s="1" t="s">
        <v>22</v>
      </c>
    </row>
    <row r="25" spans="1:14" x14ac:dyDescent="0.25">
      <c r="A25" s="1" t="s">
        <v>102</v>
      </c>
      <c r="B25" s="1" t="s">
        <v>103</v>
      </c>
      <c r="C25" s="1" t="s">
        <v>89</v>
      </c>
      <c r="D25" s="1" t="s">
        <v>104</v>
      </c>
      <c r="E25" s="1" t="s">
        <v>18</v>
      </c>
      <c r="F25" s="1" t="s">
        <v>19</v>
      </c>
      <c r="G25" s="1">
        <v>61000</v>
      </c>
      <c r="H25" s="3">
        <v>45390</v>
      </c>
      <c r="I25" s="1" t="s">
        <v>29</v>
      </c>
      <c r="J25" s="1">
        <v>7000</v>
      </c>
      <c r="K25" s="1" t="s">
        <v>41</v>
      </c>
      <c r="L25" s="1" t="s">
        <v>41</v>
      </c>
      <c r="M25" s="1" t="s">
        <v>41</v>
      </c>
      <c r="N25" s="1" t="s">
        <v>41</v>
      </c>
    </row>
    <row r="26" spans="1:14" x14ac:dyDescent="0.25">
      <c r="A26" s="1" t="s">
        <v>105</v>
      </c>
      <c r="B26" s="1" t="s">
        <v>106</v>
      </c>
      <c r="C26" s="1" t="s">
        <v>107</v>
      </c>
      <c r="D26" s="1" t="s">
        <v>108</v>
      </c>
      <c r="E26" s="1" t="s">
        <v>18</v>
      </c>
      <c r="F26" s="1" t="s">
        <v>19</v>
      </c>
      <c r="G26" s="1">
        <v>48000</v>
      </c>
      <c r="H26" s="3">
        <v>45393</v>
      </c>
      <c r="I26" s="1" t="s">
        <v>20</v>
      </c>
      <c r="J26" s="1">
        <v>12000</v>
      </c>
      <c r="K26" s="1" t="s">
        <v>36</v>
      </c>
      <c r="L26" s="1">
        <v>100000</v>
      </c>
      <c r="M26" s="1">
        <v>3000</v>
      </c>
      <c r="N26" s="1" t="s">
        <v>22</v>
      </c>
    </row>
    <row r="27" spans="1:14" x14ac:dyDescent="0.25">
      <c r="A27" s="1" t="s">
        <v>109</v>
      </c>
      <c r="B27" s="1" t="s">
        <v>110</v>
      </c>
      <c r="C27" s="1" t="s">
        <v>16</v>
      </c>
      <c r="D27" s="1" t="s">
        <v>78</v>
      </c>
      <c r="E27" s="1" t="s">
        <v>27</v>
      </c>
      <c r="F27" s="1" t="s">
        <v>28</v>
      </c>
      <c r="G27" s="1">
        <v>140000</v>
      </c>
      <c r="H27" s="3">
        <v>45400</v>
      </c>
      <c r="I27" s="1" t="s">
        <v>20</v>
      </c>
      <c r="J27" s="1">
        <v>70000</v>
      </c>
      <c r="K27" s="1" t="s">
        <v>21</v>
      </c>
      <c r="L27" s="1">
        <v>800000</v>
      </c>
      <c r="M27" s="1">
        <v>25000</v>
      </c>
      <c r="N27" s="1" t="s">
        <v>22</v>
      </c>
    </row>
    <row r="28" spans="1:14" x14ac:dyDescent="0.25">
      <c r="A28" s="1" t="s">
        <v>111</v>
      </c>
      <c r="B28" s="1" t="s">
        <v>112</v>
      </c>
      <c r="C28" s="1" t="s">
        <v>113</v>
      </c>
      <c r="D28" s="1" t="s">
        <v>114</v>
      </c>
      <c r="E28" s="1" t="s">
        <v>18</v>
      </c>
      <c r="F28" s="1" t="s">
        <v>19</v>
      </c>
      <c r="G28" s="1">
        <v>62000</v>
      </c>
      <c r="H28" s="3">
        <v>45396</v>
      </c>
      <c r="I28" s="1" t="s">
        <v>29</v>
      </c>
      <c r="J28" s="1">
        <v>5000</v>
      </c>
      <c r="K28" s="1" t="s">
        <v>41</v>
      </c>
      <c r="L28" s="1" t="s">
        <v>41</v>
      </c>
      <c r="M28" s="1" t="s">
        <v>41</v>
      </c>
      <c r="N28" s="1" t="s">
        <v>41</v>
      </c>
    </row>
    <row r="29" spans="1:14" x14ac:dyDescent="0.25">
      <c r="A29" s="1" t="s">
        <v>115</v>
      </c>
      <c r="B29" s="1" t="s">
        <v>116</v>
      </c>
      <c r="C29" s="1" t="s">
        <v>117</v>
      </c>
      <c r="D29" s="1" t="s">
        <v>118</v>
      </c>
      <c r="E29" s="1" t="s">
        <v>45</v>
      </c>
      <c r="F29" s="1" t="s">
        <v>28</v>
      </c>
      <c r="G29" s="1">
        <v>98000</v>
      </c>
      <c r="H29" s="3">
        <v>45397</v>
      </c>
      <c r="I29" s="1" t="s">
        <v>20</v>
      </c>
      <c r="J29" s="1">
        <v>35000</v>
      </c>
      <c r="K29" s="1" t="s">
        <v>30</v>
      </c>
      <c r="L29" s="1">
        <v>270000</v>
      </c>
      <c r="M29" s="1">
        <v>8000</v>
      </c>
      <c r="N29" s="1" t="s">
        <v>22</v>
      </c>
    </row>
    <row r="30" spans="1:14" x14ac:dyDescent="0.25">
      <c r="A30" s="1" t="s">
        <v>119</v>
      </c>
      <c r="B30" s="1" t="s">
        <v>120</v>
      </c>
      <c r="C30" s="1" t="s">
        <v>25</v>
      </c>
      <c r="D30" s="1" t="s">
        <v>68</v>
      </c>
      <c r="E30" s="1" t="s">
        <v>18</v>
      </c>
      <c r="F30" s="1" t="s">
        <v>19</v>
      </c>
      <c r="G30" s="1">
        <v>83000</v>
      </c>
      <c r="H30" s="3">
        <v>45398</v>
      </c>
      <c r="I30" s="1" t="s">
        <v>29</v>
      </c>
      <c r="J30" s="1">
        <v>6000</v>
      </c>
      <c r="K30" s="1" t="s">
        <v>36</v>
      </c>
      <c r="L30" s="1">
        <v>130000</v>
      </c>
      <c r="M30" s="1">
        <v>4500</v>
      </c>
      <c r="N30" s="1" t="s">
        <v>22</v>
      </c>
    </row>
    <row r="31" spans="1:14" x14ac:dyDescent="0.25">
      <c r="A31" s="1" t="s">
        <v>121</v>
      </c>
      <c r="B31" s="1" t="s">
        <v>122</v>
      </c>
      <c r="C31" s="1" t="s">
        <v>34</v>
      </c>
      <c r="D31" s="1" t="s">
        <v>123</v>
      </c>
      <c r="E31" s="1" t="s">
        <v>18</v>
      </c>
      <c r="F31" s="1" t="s">
        <v>19</v>
      </c>
      <c r="G31" s="1">
        <v>54000</v>
      </c>
      <c r="H31" s="3">
        <v>45395</v>
      </c>
      <c r="I31" s="1" t="s">
        <v>20</v>
      </c>
      <c r="J31" s="1">
        <v>15000</v>
      </c>
      <c r="K31" s="1" t="s">
        <v>41</v>
      </c>
      <c r="L31" s="1" t="s">
        <v>41</v>
      </c>
      <c r="M31" s="1" t="s">
        <v>41</v>
      </c>
      <c r="N31" s="1" t="s">
        <v>41</v>
      </c>
    </row>
    <row r="32" spans="1:14" x14ac:dyDescent="0.25">
      <c r="A32" s="1" t="s">
        <v>124</v>
      </c>
      <c r="B32" s="1" t="s">
        <v>125</v>
      </c>
      <c r="C32" s="1" t="s">
        <v>16</v>
      </c>
      <c r="D32" s="1" t="s">
        <v>17</v>
      </c>
      <c r="E32" s="1" t="s">
        <v>45</v>
      </c>
      <c r="F32" s="1" t="s">
        <v>28</v>
      </c>
      <c r="G32" s="1">
        <v>150000</v>
      </c>
      <c r="H32" s="3">
        <v>45400</v>
      </c>
      <c r="I32" s="1" t="s">
        <v>20</v>
      </c>
      <c r="J32" s="1">
        <v>80000</v>
      </c>
      <c r="K32" s="1" t="s">
        <v>21</v>
      </c>
      <c r="L32" s="1">
        <v>900000</v>
      </c>
      <c r="M32" s="1">
        <v>28000</v>
      </c>
      <c r="N32" s="1" t="s">
        <v>22</v>
      </c>
    </row>
    <row r="33" spans="1:14" x14ac:dyDescent="0.25">
      <c r="A33" s="1" t="s">
        <v>126</v>
      </c>
      <c r="B33" s="1" t="s">
        <v>127</v>
      </c>
      <c r="C33" s="1" t="s">
        <v>81</v>
      </c>
      <c r="D33" s="1" t="s">
        <v>128</v>
      </c>
      <c r="E33" s="1" t="s">
        <v>27</v>
      </c>
      <c r="F33" s="1" t="s">
        <v>19</v>
      </c>
      <c r="G33" s="1">
        <v>87000</v>
      </c>
      <c r="H33" s="3">
        <v>45399</v>
      </c>
      <c r="I33" s="1" t="s">
        <v>29</v>
      </c>
      <c r="J33" s="1">
        <v>9000</v>
      </c>
      <c r="K33" s="1" t="s">
        <v>36</v>
      </c>
      <c r="L33" s="1">
        <v>170000</v>
      </c>
      <c r="M33" s="1">
        <v>5500</v>
      </c>
      <c r="N33" s="1" t="s">
        <v>22</v>
      </c>
    </row>
    <row r="34" spans="1:14" x14ac:dyDescent="0.25">
      <c r="A34" s="1" t="s">
        <v>129</v>
      </c>
      <c r="B34" s="1" t="s">
        <v>130</v>
      </c>
      <c r="C34" s="1" t="s">
        <v>89</v>
      </c>
      <c r="D34" s="1" t="s">
        <v>131</v>
      </c>
      <c r="E34" s="1" t="s">
        <v>18</v>
      </c>
      <c r="F34" s="1" t="s">
        <v>19</v>
      </c>
      <c r="G34" s="1">
        <v>56000</v>
      </c>
      <c r="H34" s="3">
        <v>45397</v>
      </c>
      <c r="I34" s="1" t="s">
        <v>20</v>
      </c>
      <c r="J34" s="1">
        <v>20000</v>
      </c>
      <c r="K34" s="1" t="s">
        <v>41</v>
      </c>
      <c r="L34" s="1" t="s">
        <v>41</v>
      </c>
      <c r="M34" s="1" t="s">
        <v>41</v>
      </c>
      <c r="N34" s="1" t="s">
        <v>41</v>
      </c>
    </row>
    <row r="35" spans="1:14" x14ac:dyDescent="0.25">
      <c r="A35" s="1" t="s">
        <v>132</v>
      </c>
      <c r="B35" s="1" t="s">
        <v>133</v>
      </c>
      <c r="C35" s="1" t="s">
        <v>71</v>
      </c>
      <c r="D35" s="1" t="s">
        <v>134</v>
      </c>
      <c r="E35" s="1" t="s">
        <v>45</v>
      </c>
      <c r="F35" s="1" t="s">
        <v>28</v>
      </c>
      <c r="G35" s="1">
        <v>102000</v>
      </c>
      <c r="H35" s="3">
        <v>45396</v>
      </c>
      <c r="I35" s="1" t="s">
        <v>29</v>
      </c>
      <c r="J35" s="1">
        <v>11000</v>
      </c>
      <c r="K35" s="1" t="s">
        <v>30</v>
      </c>
      <c r="L35" s="1">
        <v>290000</v>
      </c>
      <c r="M35" s="1">
        <v>8500</v>
      </c>
      <c r="N35" s="1" t="s">
        <v>22</v>
      </c>
    </row>
    <row r="36" spans="1:14" x14ac:dyDescent="0.25">
      <c r="A36" s="1" t="s">
        <v>135</v>
      </c>
      <c r="B36" s="1" t="s">
        <v>136</v>
      </c>
      <c r="C36" s="1" t="s">
        <v>48</v>
      </c>
      <c r="D36" s="1" t="s">
        <v>137</v>
      </c>
      <c r="E36" s="1" t="s">
        <v>18</v>
      </c>
      <c r="F36" s="1" t="s">
        <v>19</v>
      </c>
      <c r="G36" s="1">
        <v>76000</v>
      </c>
      <c r="H36" s="3">
        <v>45395</v>
      </c>
      <c r="I36" s="1" t="s">
        <v>20</v>
      </c>
      <c r="J36" s="1">
        <v>22000</v>
      </c>
      <c r="K36" s="1" t="s">
        <v>36</v>
      </c>
      <c r="L36" s="1">
        <v>190000</v>
      </c>
      <c r="M36" s="1">
        <v>6000</v>
      </c>
      <c r="N36" s="1" t="s">
        <v>22</v>
      </c>
    </row>
    <row r="37" spans="1:14" x14ac:dyDescent="0.25">
      <c r="A37" s="1" t="s">
        <v>138</v>
      </c>
      <c r="B37" s="1" t="s">
        <v>139</v>
      </c>
      <c r="C37" s="1" t="s">
        <v>16</v>
      </c>
      <c r="D37" s="1" t="s">
        <v>56</v>
      </c>
      <c r="E37" s="1" t="s">
        <v>18</v>
      </c>
      <c r="F37" s="1" t="s">
        <v>19</v>
      </c>
      <c r="G37" s="1">
        <v>67000</v>
      </c>
      <c r="H37" s="3">
        <v>45394</v>
      </c>
      <c r="I37" s="1" t="s">
        <v>29</v>
      </c>
      <c r="J37" s="1">
        <v>5000</v>
      </c>
      <c r="K37" s="1" t="s">
        <v>41</v>
      </c>
      <c r="L37" s="1" t="s">
        <v>41</v>
      </c>
      <c r="M37" s="1" t="s">
        <v>41</v>
      </c>
      <c r="N37" s="1" t="s">
        <v>41</v>
      </c>
    </row>
    <row r="38" spans="1:14" x14ac:dyDescent="0.25">
      <c r="A38" s="1" t="s">
        <v>140</v>
      </c>
      <c r="B38" s="1" t="s">
        <v>141</v>
      </c>
      <c r="C38" s="1" t="s">
        <v>25</v>
      </c>
      <c r="D38" s="1" t="s">
        <v>26</v>
      </c>
      <c r="E38" s="1" t="s">
        <v>27</v>
      </c>
      <c r="F38" s="1" t="s">
        <v>28</v>
      </c>
      <c r="G38" s="1">
        <v>135000</v>
      </c>
      <c r="H38" s="3">
        <v>45400</v>
      </c>
      <c r="I38" s="1" t="s">
        <v>20</v>
      </c>
      <c r="J38" s="1">
        <v>65000</v>
      </c>
      <c r="K38" s="1" t="s">
        <v>21</v>
      </c>
      <c r="L38" s="1">
        <v>720000</v>
      </c>
      <c r="M38" s="1">
        <v>21000</v>
      </c>
      <c r="N38" s="1" t="s">
        <v>22</v>
      </c>
    </row>
    <row r="39" spans="1:14" x14ac:dyDescent="0.25">
      <c r="A39" s="1" t="s">
        <v>142</v>
      </c>
      <c r="B39" s="1" t="s">
        <v>143</v>
      </c>
      <c r="C39" s="1" t="s">
        <v>34</v>
      </c>
      <c r="D39" s="1" t="s">
        <v>35</v>
      </c>
      <c r="E39" s="1" t="s">
        <v>18</v>
      </c>
      <c r="F39" s="1" t="s">
        <v>19</v>
      </c>
      <c r="G39" s="1">
        <v>59000</v>
      </c>
      <c r="H39" s="3">
        <v>45393</v>
      </c>
      <c r="I39" s="1" t="s">
        <v>29</v>
      </c>
      <c r="J39" s="1">
        <v>4500</v>
      </c>
      <c r="K39" s="1" t="s">
        <v>41</v>
      </c>
      <c r="L39" s="1" t="s">
        <v>41</v>
      </c>
      <c r="M39" s="1" t="s">
        <v>41</v>
      </c>
      <c r="N39" s="1" t="s">
        <v>41</v>
      </c>
    </row>
    <row r="40" spans="1:14" x14ac:dyDescent="0.25">
      <c r="A40" s="1" t="s">
        <v>144</v>
      </c>
      <c r="B40" s="1" t="s">
        <v>145</v>
      </c>
      <c r="C40" s="1" t="s">
        <v>52</v>
      </c>
      <c r="D40" s="1" t="s">
        <v>53</v>
      </c>
      <c r="E40" s="1" t="s">
        <v>18</v>
      </c>
      <c r="F40" s="1" t="s">
        <v>19</v>
      </c>
      <c r="G40" s="1">
        <v>61000</v>
      </c>
      <c r="H40" s="3">
        <v>45398</v>
      </c>
      <c r="I40" s="1" t="s">
        <v>20</v>
      </c>
      <c r="J40" s="1">
        <v>17000</v>
      </c>
      <c r="K40" s="1" t="s">
        <v>36</v>
      </c>
      <c r="L40" s="1">
        <v>125000</v>
      </c>
      <c r="M40" s="1">
        <v>4000</v>
      </c>
      <c r="N40" s="1" t="s">
        <v>22</v>
      </c>
    </row>
    <row r="41" spans="1:14" x14ac:dyDescent="0.25">
      <c r="A41" s="1" t="s">
        <v>146</v>
      </c>
      <c r="B41" s="1" t="s">
        <v>147</v>
      </c>
      <c r="C41" s="1" t="s">
        <v>85</v>
      </c>
      <c r="D41" s="1" t="s">
        <v>86</v>
      </c>
      <c r="E41" s="1" t="s">
        <v>45</v>
      </c>
      <c r="F41" s="1" t="s">
        <v>28</v>
      </c>
      <c r="G41" s="1">
        <v>108000</v>
      </c>
      <c r="H41" s="3">
        <v>45397</v>
      </c>
      <c r="I41" s="1" t="s">
        <v>29</v>
      </c>
      <c r="J41" s="1">
        <v>12000</v>
      </c>
      <c r="K41" s="1" t="s">
        <v>21</v>
      </c>
      <c r="L41" s="1">
        <v>580000</v>
      </c>
      <c r="M41" s="1">
        <v>17000</v>
      </c>
      <c r="N41" s="1" t="s">
        <v>22</v>
      </c>
    </row>
    <row r="42" spans="1:14" x14ac:dyDescent="0.25">
      <c r="A42" s="1" t="s">
        <v>148</v>
      </c>
      <c r="B42" s="1" t="s">
        <v>149</v>
      </c>
      <c r="C42" s="1" t="s">
        <v>16</v>
      </c>
      <c r="D42" s="1" t="s">
        <v>44</v>
      </c>
      <c r="E42" s="1" t="s">
        <v>27</v>
      </c>
      <c r="F42" s="1" t="s">
        <v>19</v>
      </c>
      <c r="G42" s="1">
        <v>91000</v>
      </c>
      <c r="H42" s="3">
        <v>45399</v>
      </c>
      <c r="I42" s="1" t="s">
        <v>20</v>
      </c>
      <c r="J42" s="1">
        <v>30000</v>
      </c>
      <c r="K42" s="1" t="s">
        <v>30</v>
      </c>
      <c r="L42" s="1">
        <v>260000</v>
      </c>
      <c r="M42" s="1">
        <v>7500</v>
      </c>
      <c r="N42" s="1" t="s">
        <v>22</v>
      </c>
    </row>
    <row r="43" spans="1:14" x14ac:dyDescent="0.25">
      <c r="A43" s="1" t="s">
        <v>150</v>
      </c>
      <c r="B43" s="1" t="s">
        <v>151</v>
      </c>
      <c r="C43" s="1" t="s">
        <v>25</v>
      </c>
      <c r="D43" s="1" t="s">
        <v>152</v>
      </c>
      <c r="E43" s="1" t="s">
        <v>18</v>
      </c>
      <c r="F43" s="1" t="s">
        <v>19</v>
      </c>
      <c r="G43" s="1">
        <v>74000</v>
      </c>
      <c r="H43" s="3">
        <v>45396</v>
      </c>
      <c r="I43" s="1" t="s">
        <v>29</v>
      </c>
      <c r="J43" s="1">
        <v>6000</v>
      </c>
      <c r="K43" s="1" t="s">
        <v>41</v>
      </c>
      <c r="L43" s="1" t="s">
        <v>41</v>
      </c>
      <c r="M43" s="1" t="s">
        <v>41</v>
      </c>
      <c r="N43" s="1" t="s">
        <v>41</v>
      </c>
    </row>
    <row r="44" spans="1:14" x14ac:dyDescent="0.25">
      <c r="A44" s="1" t="s">
        <v>153</v>
      </c>
      <c r="B44" s="1" t="s">
        <v>154</v>
      </c>
      <c r="C44" s="1" t="s">
        <v>71</v>
      </c>
      <c r="D44" s="1" t="s">
        <v>72</v>
      </c>
      <c r="E44" s="1" t="s">
        <v>18</v>
      </c>
      <c r="F44" s="1" t="s">
        <v>19</v>
      </c>
      <c r="G44" s="1">
        <v>52000</v>
      </c>
      <c r="H44" s="3">
        <v>45395</v>
      </c>
      <c r="I44" s="1" t="s">
        <v>20</v>
      </c>
      <c r="J44" s="1">
        <v>14000</v>
      </c>
      <c r="K44" s="1" t="s">
        <v>36</v>
      </c>
      <c r="L44" s="1">
        <v>115000</v>
      </c>
      <c r="M44" s="1">
        <v>3500</v>
      </c>
      <c r="N44" s="1" t="s">
        <v>22</v>
      </c>
    </row>
    <row r="45" spans="1:14" x14ac:dyDescent="0.25">
      <c r="A45" s="1" t="s">
        <v>155</v>
      </c>
      <c r="B45" s="1" t="s">
        <v>156</v>
      </c>
      <c r="C45" s="1" t="s">
        <v>89</v>
      </c>
      <c r="D45" s="1" t="s">
        <v>157</v>
      </c>
      <c r="E45" s="1" t="s">
        <v>18</v>
      </c>
      <c r="F45" s="1" t="s">
        <v>19</v>
      </c>
      <c r="G45" s="1">
        <v>60000</v>
      </c>
      <c r="H45" s="3">
        <v>45394</v>
      </c>
      <c r="I45" s="1" t="s">
        <v>29</v>
      </c>
      <c r="J45" s="1">
        <v>5000</v>
      </c>
      <c r="K45" s="1" t="s">
        <v>41</v>
      </c>
      <c r="L45" s="1" t="s">
        <v>41</v>
      </c>
      <c r="M45" s="1" t="s">
        <v>41</v>
      </c>
      <c r="N45" s="1" t="s">
        <v>41</v>
      </c>
    </row>
    <row r="46" spans="1:14" x14ac:dyDescent="0.25">
      <c r="A46" s="1" t="s">
        <v>158</v>
      </c>
      <c r="B46" s="1" t="s">
        <v>159</v>
      </c>
      <c r="C46" s="1" t="s">
        <v>16</v>
      </c>
      <c r="D46" s="1" t="s">
        <v>65</v>
      </c>
      <c r="E46" s="1" t="s">
        <v>45</v>
      </c>
      <c r="F46" s="1" t="s">
        <v>28</v>
      </c>
      <c r="G46" s="1">
        <v>145000</v>
      </c>
      <c r="H46" s="3">
        <v>45400</v>
      </c>
      <c r="I46" s="1" t="s">
        <v>20</v>
      </c>
      <c r="J46" s="1">
        <v>75000</v>
      </c>
      <c r="K46" s="1" t="s">
        <v>21</v>
      </c>
      <c r="L46" s="1">
        <v>850000</v>
      </c>
      <c r="M46" s="1">
        <v>26000</v>
      </c>
      <c r="N46" s="1" t="s">
        <v>22</v>
      </c>
    </row>
    <row r="47" spans="1:14" x14ac:dyDescent="0.25">
      <c r="A47" s="1" t="s">
        <v>160</v>
      </c>
      <c r="B47" s="1" t="s">
        <v>161</v>
      </c>
      <c r="C47" s="1" t="s">
        <v>39</v>
      </c>
      <c r="D47" s="1" t="s">
        <v>162</v>
      </c>
      <c r="E47" s="1" t="s">
        <v>18</v>
      </c>
      <c r="F47" s="1" t="s">
        <v>19</v>
      </c>
      <c r="G47" s="1">
        <v>68000</v>
      </c>
      <c r="H47" s="3">
        <v>45398</v>
      </c>
      <c r="I47" s="1" t="s">
        <v>29</v>
      </c>
      <c r="J47" s="1">
        <v>5500</v>
      </c>
      <c r="K47" s="1" t="s">
        <v>36</v>
      </c>
      <c r="L47" s="1">
        <v>150000</v>
      </c>
      <c r="M47" s="1">
        <v>5000</v>
      </c>
      <c r="N47" s="1" t="s">
        <v>22</v>
      </c>
    </row>
    <row r="48" spans="1:14" x14ac:dyDescent="0.25">
      <c r="A48" s="1" t="s">
        <v>163</v>
      </c>
      <c r="B48" s="1" t="s">
        <v>164</v>
      </c>
      <c r="C48" s="1" t="s">
        <v>85</v>
      </c>
      <c r="D48" s="1" t="s">
        <v>165</v>
      </c>
      <c r="E48" s="1" t="s">
        <v>18</v>
      </c>
      <c r="F48" s="1" t="s">
        <v>19</v>
      </c>
      <c r="G48" s="1">
        <v>49000</v>
      </c>
      <c r="H48" s="3">
        <v>45397</v>
      </c>
      <c r="I48" s="1" t="s">
        <v>20</v>
      </c>
      <c r="J48" s="1">
        <v>13000</v>
      </c>
      <c r="K48" s="1" t="s">
        <v>41</v>
      </c>
      <c r="L48" s="1" t="s">
        <v>41</v>
      </c>
      <c r="M48" s="1" t="s">
        <v>41</v>
      </c>
      <c r="N48" s="1" t="s">
        <v>41</v>
      </c>
    </row>
    <row r="49" spans="1:14" x14ac:dyDescent="0.25">
      <c r="A49" s="1" t="s">
        <v>166</v>
      </c>
      <c r="B49" s="1" t="s">
        <v>167</v>
      </c>
      <c r="C49" s="1" t="s">
        <v>107</v>
      </c>
      <c r="D49" s="1" t="s">
        <v>168</v>
      </c>
      <c r="E49" s="1" t="s">
        <v>45</v>
      </c>
      <c r="F49" s="1" t="s">
        <v>28</v>
      </c>
      <c r="G49" s="1">
        <v>97000</v>
      </c>
      <c r="H49" s="3">
        <v>45396</v>
      </c>
      <c r="I49" s="1" t="s">
        <v>29</v>
      </c>
      <c r="J49" s="1">
        <v>10000</v>
      </c>
      <c r="K49" s="1" t="s">
        <v>30</v>
      </c>
      <c r="L49" s="1">
        <v>240000</v>
      </c>
      <c r="M49" s="1">
        <v>7000</v>
      </c>
      <c r="N49" s="1" t="s">
        <v>22</v>
      </c>
    </row>
    <row r="50" spans="1:14" x14ac:dyDescent="0.25">
      <c r="A50" s="1" t="s">
        <v>169</v>
      </c>
      <c r="B50" s="1" t="s">
        <v>170</v>
      </c>
      <c r="C50" s="1" t="s">
        <v>81</v>
      </c>
      <c r="D50" s="1" t="s">
        <v>82</v>
      </c>
      <c r="E50" s="1" t="s">
        <v>27</v>
      </c>
      <c r="F50" s="1" t="s">
        <v>19</v>
      </c>
      <c r="G50" s="1">
        <v>88000</v>
      </c>
      <c r="H50" s="3">
        <v>45399</v>
      </c>
      <c r="I50" s="1" t="s">
        <v>20</v>
      </c>
      <c r="J50" s="1">
        <v>28000</v>
      </c>
      <c r="K50" s="1" t="s">
        <v>36</v>
      </c>
      <c r="L50" s="1">
        <v>175000</v>
      </c>
      <c r="M50" s="1">
        <v>5500</v>
      </c>
      <c r="N50" s="1" t="s">
        <v>22</v>
      </c>
    </row>
    <row r="51" spans="1:14" x14ac:dyDescent="0.25">
      <c r="A51" s="1" t="s">
        <v>171</v>
      </c>
      <c r="B51" s="1" t="s">
        <v>172</v>
      </c>
      <c r="C51" s="1" t="s">
        <v>16</v>
      </c>
      <c r="D51" s="1" t="s">
        <v>17</v>
      </c>
      <c r="E51" s="1" t="s">
        <v>18</v>
      </c>
      <c r="F51" s="1" t="s">
        <v>19</v>
      </c>
      <c r="G51" s="1">
        <v>66000</v>
      </c>
      <c r="H51" s="3">
        <v>45400</v>
      </c>
      <c r="I51" s="1" t="s">
        <v>29</v>
      </c>
      <c r="J51" s="1">
        <v>6000</v>
      </c>
      <c r="K51" s="1" t="s">
        <v>41</v>
      </c>
      <c r="L51" s="1" t="s">
        <v>41</v>
      </c>
      <c r="M51" s="1" t="s">
        <v>41</v>
      </c>
      <c r="N51" s="1" t="s">
        <v>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1F4D1-ADCE-4CFC-B7CC-05059AD3E0DC}">
  <dimension ref="A1:B9"/>
  <sheetViews>
    <sheetView workbookViewId="0">
      <selection activeCell="B2" sqref="B2"/>
    </sheetView>
  </sheetViews>
  <sheetFormatPr defaultRowHeight="15" x14ac:dyDescent="0.25"/>
  <cols>
    <col min="1" max="1" width="20" bestFit="1" customWidth="1"/>
  </cols>
  <sheetData>
    <row r="1" spans="1:2" x14ac:dyDescent="0.25">
      <c r="A1" s="5" t="s">
        <v>180</v>
      </c>
      <c r="B1" s="5" t="s">
        <v>173</v>
      </c>
    </row>
    <row r="2" spans="1:2" x14ac:dyDescent="0.25">
      <c r="A2" s="4" t="s">
        <v>174</v>
      </c>
      <c r="B2" s="4">
        <f>COUNTA(Table1[Customer_ID])</f>
        <v>50</v>
      </c>
    </row>
    <row r="3" spans="1:2" x14ac:dyDescent="0.25">
      <c r="A3" s="4" t="s">
        <v>175</v>
      </c>
      <c r="B3" s="4">
        <f>SUM(Table1[Balance])</f>
        <v>4094000</v>
      </c>
    </row>
    <row r="4" spans="1:2" x14ac:dyDescent="0.25">
      <c r="A4" s="4" t="s">
        <v>177</v>
      </c>
      <c r="B4" s="4">
        <f>SUM(Table1[Loan_Amount])</f>
        <v>11375000</v>
      </c>
    </row>
    <row r="5" spans="1:2" x14ac:dyDescent="0.25">
      <c r="A5" s="4" t="s">
        <v>176</v>
      </c>
      <c r="B5" s="4">
        <f>COUNTIF(Table1[Loan_Status], "Active")</f>
        <v>31</v>
      </c>
    </row>
    <row r="6" spans="1:2" x14ac:dyDescent="0.25">
      <c r="A6" s="4" t="s">
        <v>178</v>
      </c>
      <c r="B6" s="4">
        <f>AVERAGE(Table1[Balance])</f>
        <v>81880</v>
      </c>
    </row>
    <row r="7" spans="1:2" x14ac:dyDescent="0.25">
      <c r="A7" s="4" t="s">
        <v>179</v>
      </c>
      <c r="B7" s="7">
        <f>SUM(Table1[Loan_Amount])/SUM(Table1[Balance])</f>
        <v>2.7784562774792381</v>
      </c>
    </row>
    <row r="8" spans="1:2" x14ac:dyDescent="0.25">
      <c r="A8" s="4" t="s">
        <v>181</v>
      </c>
      <c r="B8" s="7">
        <f>B5/B2</f>
        <v>0.62</v>
      </c>
    </row>
    <row r="9" spans="1:2" x14ac:dyDescent="0.25">
      <c r="A9" s="4" t="s">
        <v>182</v>
      </c>
      <c r="B9" s="4">
        <f>B4/B5</f>
        <v>366935.48387096776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1F46B-18A2-4237-885E-6185AF840912}">
  <dimension ref="A1:S20"/>
  <sheetViews>
    <sheetView showGridLines="0" tabSelected="1" zoomScale="70" zoomScaleNormal="70" workbookViewId="0">
      <selection activeCell="K13" sqref="K13"/>
    </sheetView>
  </sheetViews>
  <sheetFormatPr defaultRowHeight="15" x14ac:dyDescent="0.25"/>
  <cols>
    <col min="1" max="1" width="19.7109375" bestFit="1" customWidth="1"/>
    <col min="2" max="2" width="21.5703125" bestFit="1" customWidth="1"/>
    <col min="3" max="3" width="13.140625" bestFit="1" customWidth="1"/>
    <col min="4" max="4" width="20.7109375" bestFit="1" customWidth="1"/>
    <col min="5" max="5" width="13.140625" bestFit="1" customWidth="1"/>
    <col min="6" max="6" width="20.140625" bestFit="1" customWidth="1"/>
    <col min="7" max="7" width="13.140625" bestFit="1" customWidth="1"/>
    <col min="8" max="8" width="20.7109375" bestFit="1" customWidth="1"/>
    <col min="9" max="9" width="13.140625" bestFit="1" customWidth="1"/>
    <col min="10" max="10" width="20.7109375" bestFit="1" customWidth="1"/>
    <col min="11" max="14" width="16.28515625" bestFit="1" customWidth="1"/>
    <col min="15" max="15" width="11.28515625" bestFit="1" customWidth="1"/>
    <col min="16" max="16" width="13.140625" bestFit="1" customWidth="1"/>
    <col min="17" max="17" width="20.140625" bestFit="1" customWidth="1"/>
    <col min="19" max="19" width="13.140625" bestFit="1" customWidth="1"/>
    <col min="20" max="20" width="20.7109375" bestFit="1" customWidth="1"/>
  </cols>
  <sheetData>
    <row r="1" spans="1:19" ht="15.75" thickBot="1" x14ac:dyDescent="0.3">
      <c r="D1" s="6"/>
    </row>
    <row r="2" spans="1:19" ht="15" customHeight="1" x14ac:dyDescent="0.25">
      <c r="A2" s="10" t="s">
        <v>183</v>
      </c>
      <c r="B2" s="11"/>
      <c r="C2" s="12"/>
      <c r="D2" s="10" t="s">
        <v>175</v>
      </c>
      <c r="E2" s="27"/>
      <c r="F2" s="27"/>
      <c r="G2" s="10" t="s">
        <v>177</v>
      </c>
      <c r="H2" s="11"/>
      <c r="I2" s="12"/>
      <c r="J2" s="10" t="s">
        <v>176</v>
      </c>
      <c r="K2" s="31"/>
      <c r="L2" s="32"/>
      <c r="M2" s="23"/>
      <c r="N2" s="23"/>
      <c r="P2" s="40"/>
      <c r="Q2" s="40"/>
      <c r="R2" s="40"/>
      <c r="S2" s="40"/>
    </row>
    <row r="3" spans="1:19" ht="15" customHeight="1" x14ac:dyDescent="0.25">
      <c r="A3" s="13"/>
      <c r="B3" s="8"/>
      <c r="C3" s="14"/>
      <c r="D3" s="26"/>
      <c r="E3" s="28"/>
      <c r="F3" s="28"/>
      <c r="G3" s="13"/>
      <c r="H3" s="8"/>
      <c r="I3" s="14"/>
      <c r="J3" s="29"/>
      <c r="K3" s="33"/>
      <c r="L3" s="34"/>
      <c r="M3" s="23"/>
      <c r="N3" s="23"/>
      <c r="P3" s="40"/>
      <c r="Q3" s="40"/>
      <c r="R3" s="40"/>
      <c r="S3" s="40"/>
    </row>
    <row r="4" spans="1:19" ht="15" customHeight="1" x14ac:dyDescent="0.25">
      <c r="A4" s="15">
        <f>Kpi!B2</f>
        <v>50</v>
      </c>
      <c r="B4" s="9"/>
      <c r="C4" s="16"/>
      <c r="D4" s="15">
        <f>Kpi!B3</f>
        <v>4094000</v>
      </c>
      <c r="E4" s="9"/>
      <c r="F4" s="9"/>
      <c r="G4" s="15">
        <f>Kpi!B4</f>
        <v>11375000</v>
      </c>
      <c r="H4" s="9"/>
      <c r="I4" s="16"/>
      <c r="J4" s="30">
        <f>Kpi!B5</f>
        <v>31</v>
      </c>
      <c r="K4" s="35"/>
      <c r="L4" s="36"/>
      <c r="M4" s="23"/>
      <c r="N4" s="23"/>
      <c r="P4" s="40"/>
      <c r="Q4" s="40"/>
      <c r="R4" s="40"/>
      <c r="S4" s="40"/>
    </row>
    <row r="5" spans="1:19" ht="15" customHeight="1" thickBot="1" x14ac:dyDescent="0.3">
      <c r="A5" s="17"/>
      <c r="B5" s="18"/>
      <c r="C5" s="19"/>
      <c r="D5" s="17"/>
      <c r="E5" s="18"/>
      <c r="F5" s="18"/>
      <c r="G5" s="17"/>
      <c r="H5" s="18"/>
      <c r="I5" s="19"/>
      <c r="J5" s="37"/>
      <c r="K5" s="38"/>
      <c r="L5" s="39"/>
      <c r="M5" s="24"/>
      <c r="N5" s="24"/>
      <c r="P5" s="25"/>
      <c r="Q5" s="25"/>
      <c r="R5" s="25"/>
      <c r="S5" s="25"/>
    </row>
    <row r="6" spans="1:19" ht="26.25" x14ac:dyDescent="0.25">
      <c r="A6" s="20" t="s">
        <v>185</v>
      </c>
      <c r="B6" t="s">
        <v>186</v>
      </c>
      <c r="C6" s="20" t="s">
        <v>185</v>
      </c>
      <c r="D6" t="s">
        <v>187</v>
      </c>
      <c r="E6" s="20" t="s">
        <v>185</v>
      </c>
      <c r="F6" t="s">
        <v>188</v>
      </c>
      <c r="G6" s="20" t="s">
        <v>185</v>
      </c>
      <c r="H6" t="s">
        <v>187</v>
      </c>
      <c r="K6" s="24"/>
      <c r="L6" s="24"/>
      <c r="M6" s="24"/>
      <c r="N6" s="24"/>
      <c r="P6" s="25"/>
      <c r="Q6" s="25"/>
      <c r="R6" s="25"/>
      <c r="S6" s="25"/>
    </row>
    <row r="7" spans="1:19" ht="15" customHeight="1" x14ac:dyDescent="0.25">
      <c r="A7" s="21" t="s">
        <v>52</v>
      </c>
      <c r="B7" s="22">
        <v>206000</v>
      </c>
      <c r="C7" s="21" t="s">
        <v>45</v>
      </c>
      <c r="D7" s="22">
        <v>10</v>
      </c>
      <c r="E7" s="21" t="s">
        <v>30</v>
      </c>
      <c r="F7" s="22">
        <v>2210000</v>
      </c>
      <c r="G7" s="21" t="s">
        <v>22</v>
      </c>
      <c r="H7" s="22">
        <v>31</v>
      </c>
      <c r="P7" s="41"/>
      <c r="Q7" s="41"/>
      <c r="R7" s="41"/>
      <c r="S7" s="41"/>
    </row>
    <row r="8" spans="1:19" x14ac:dyDescent="0.25">
      <c r="A8" s="21" t="s">
        <v>39</v>
      </c>
      <c r="B8" s="22">
        <v>203000</v>
      </c>
      <c r="C8" s="21" t="s">
        <v>27</v>
      </c>
      <c r="D8" s="22">
        <v>10</v>
      </c>
      <c r="E8" s="21" t="s">
        <v>21</v>
      </c>
      <c r="F8" s="22">
        <v>6950000</v>
      </c>
      <c r="G8" s="21" t="s">
        <v>31</v>
      </c>
      <c r="H8" s="22">
        <v>2</v>
      </c>
    </row>
    <row r="9" spans="1:19" x14ac:dyDescent="0.25">
      <c r="A9" s="21" t="s">
        <v>113</v>
      </c>
      <c r="B9" s="22">
        <v>62000</v>
      </c>
      <c r="C9" s="21" t="s">
        <v>18</v>
      </c>
      <c r="D9" s="22">
        <v>30</v>
      </c>
      <c r="E9" s="21" t="s">
        <v>41</v>
      </c>
      <c r="F9" s="22">
        <v>0</v>
      </c>
      <c r="G9" s="21" t="s">
        <v>41</v>
      </c>
      <c r="H9" s="22">
        <v>17</v>
      </c>
    </row>
    <row r="10" spans="1:19" x14ac:dyDescent="0.25">
      <c r="A10" s="21" t="s">
        <v>48</v>
      </c>
      <c r="B10" s="22">
        <v>146000</v>
      </c>
      <c r="C10" s="21" t="s">
        <v>184</v>
      </c>
      <c r="D10" s="22">
        <v>50</v>
      </c>
      <c r="E10" s="21" t="s">
        <v>36</v>
      </c>
      <c r="F10" s="22">
        <v>2215000</v>
      </c>
      <c r="G10" s="21" t="s">
        <v>184</v>
      </c>
      <c r="H10" s="22">
        <v>50</v>
      </c>
    </row>
    <row r="11" spans="1:19" x14ac:dyDescent="0.25">
      <c r="A11" s="21" t="s">
        <v>16</v>
      </c>
      <c r="B11" s="22">
        <v>1377000</v>
      </c>
      <c r="E11" s="21" t="s">
        <v>184</v>
      </c>
      <c r="F11" s="22">
        <v>11375000</v>
      </c>
    </row>
    <row r="12" spans="1:19" x14ac:dyDescent="0.25">
      <c r="A12" s="21" t="s">
        <v>81</v>
      </c>
      <c r="B12" s="22">
        <v>243000</v>
      </c>
    </row>
    <row r="13" spans="1:19" x14ac:dyDescent="0.25">
      <c r="A13" s="21" t="s">
        <v>89</v>
      </c>
      <c r="B13" s="22">
        <v>235000</v>
      </c>
    </row>
    <row r="14" spans="1:19" x14ac:dyDescent="0.25">
      <c r="A14" s="21" t="s">
        <v>107</v>
      </c>
      <c r="B14" s="22">
        <v>145000</v>
      </c>
    </row>
    <row r="15" spans="1:19" x14ac:dyDescent="0.25">
      <c r="A15" s="21" t="s">
        <v>34</v>
      </c>
      <c r="B15" s="22">
        <v>258000</v>
      </c>
    </row>
    <row r="16" spans="1:19" x14ac:dyDescent="0.25">
      <c r="A16" s="21" t="s">
        <v>71</v>
      </c>
      <c r="B16" s="22">
        <v>247000</v>
      </c>
    </row>
    <row r="17" spans="1:2" x14ac:dyDescent="0.25">
      <c r="A17" s="21" t="s">
        <v>25</v>
      </c>
      <c r="B17" s="22">
        <v>612000</v>
      </c>
    </row>
    <row r="18" spans="1:2" x14ac:dyDescent="0.25">
      <c r="A18" s="21" t="s">
        <v>117</v>
      </c>
      <c r="B18" s="22">
        <v>98000</v>
      </c>
    </row>
    <row r="19" spans="1:2" x14ac:dyDescent="0.25">
      <c r="A19" s="21" t="s">
        <v>85</v>
      </c>
      <c r="B19" s="22">
        <v>262000</v>
      </c>
    </row>
    <row r="20" spans="1:2" x14ac:dyDescent="0.25">
      <c r="A20" s="21" t="s">
        <v>184</v>
      </c>
      <c r="B20" s="22">
        <v>4094000</v>
      </c>
    </row>
  </sheetData>
  <mergeCells count="10">
    <mergeCell ref="D2:F3"/>
    <mergeCell ref="D4:F5"/>
    <mergeCell ref="G2:I3"/>
    <mergeCell ref="G4:I5"/>
    <mergeCell ref="P2:S4"/>
    <mergeCell ref="P5:S6"/>
    <mergeCell ref="J2:L3"/>
    <mergeCell ref="J4:L5"/>
    <mergeCell ref="A2:C3"/>
    <mergeCell ref="A4:C5"/>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2026-05-02T06:38:20Z</dcterms:created>
  <dcterms:modified xsi:type="dcterms:W3CDTF">2026-05-03T08:29:11Z</dcterms:modified>
</cp:coreProperties>
</file>